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ily Play" sheetId="1" r:id="rId5"/>
    <sheet name="Brawl Pass" sheetId="2" r:id="rId6"/>
    <sheet name="Ranked Pass" sheetId="3" r:id="rId7"/>
    <sheet name="Standard events" sheetId="4" r:id="rId8"/>
    <sheet name="Challenges" sheetId="5" r:id="rId9"/>
    <sheet name="ValueTransfer" sheetId="6" r:id="rId10"/>
    <sheet name="Total daily income" sheetId="7" r:id="rId1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<sst xmlns="http://schemas.openxmlformats.org/spreadsheetml/2006/main" uniqueCount="66">
  <si>
    <t>Daily Play Income</t>
  </si>
  <si>
    <t>Daily play</t>
  </si>
  <si>
    <t>Daily 6 wins</t>
  </si>
  <si>
    <t>In-game shop freebie</t>
  </si>
  <si>
    <t>Store freebie</t>
  </si>
  <si>
    <t>Login streak √</t>
  </si>
  <si>
    <t>Coins</t>
  </si>
  <si>
    <t>Power Points</t>
  </si>
  <si>
    <t>Credits</t>
  </si>
  <si>
    <t>Bling</t>
  </si>
  <si>
    <t>Gems</t>
  </si>
  <si>
    <t>Brawler Key</t>
  </si>
  <si>
    <t>Resource Key</t>
  </si>
  <si>
    <t>Buffie Key</t>
  </si>
  <si>
    <t>Starr Drop</t>
  </si>
  <si>
    <t>Epic Drop</t>
  </si>
  <si>
    <t>Mythic Drop</t>
  </si>
  <si>
    <t>Legendary Drop</t>
  </si>
  <si>
    <t>Chaos Drop</t>
  </si>
  <si>
    <t>Hypercharge Drop</t>
  </si>
  <si>
    <t>Ranked Drop</t>
  </si>
  <si>
    <t>Yearly Frequency</t>
  </si>
  <si>
    <t>?</t>
  </si>
  <si>
    <t>Cost</t>
  </si>
  <si>
    <t>Time (days)</t>
  </si>
  <si>
    <t>Event Coins Income</t>
  </si>
  <si>
    <t>Event Power Points Income</t>
  </si>
  <si>
    <t>Event Credits Income</t>
  </si>
  <si>
    <t>Event Bling Income</t>
  </si>
  <si>
    <t>Daily Coins Income</t>
  </si>
  <si>
    <t>Daily Power Points Income</t>
  </si>
  <si>
    <t>Daily Credits Income</t>
  </si>
  <si>
    <t>Daily Bling Income</t>
  </si>
  <si>
    <t>Sources</t>
  </si>
  <si>
    <r>
      <rPr>
        <u val="single"/>
        <sz val="10"/>
        <color indexed="8"/>
        <rFont val="Helvetica Neue"/>
      </rPr>
      <t>https://brawlstars.fandom.com/wiki/Daily_Streak</t>
    </r>
  </si>
  <si>
    <t>Brawl Pass Income</t>
  </si>
  <si>
    <t>Brawl Pass</t>
  </si>
  <si>
    <t>Free √</t>
  </si>
  <si>
    <t>Regular √</t>
  </si>
  <si>
    <t>Plus √</t>
  </si>
  <si>
    <t>1 Tail reward</t>
  </si>
  <si>
    <t>XP</t>
  </si>
  <si>
    <t>Mega Box</t>
  </si>
  <si>
    <t>i just counted ingame (april 2026)</t>
  </si>
  <si>
    <t>duh</t>
  </si>
  <si>
    <t>Ranked Pass Income</t>
  </si>
  <si>
    <t>Brawl Pass √</t>
  </si>
  <si>
    <t>Pro √</t>
  </si>
  <si>
    <t>1 Tail Reward √</t>
  </si>
  <si>
    <t>Mega Pig √</t>
  </si>
  <si>
    <t>New Mythic Brawler Event √</t>
  </si>
  <si>
    <t>New Leg Brawler Event</t>
  </si>
  <si>
    <t>New UL Brawler Event √</t>
  </si>
  <si>
    <t>Coin Rush</t>
  </si>
  <si>
    <t>Power Rush</t>
  </si>
  <si>
    <t>Starr Rush</t>
  </si>
  <si>
    <t>Chaos Rush</t>
  </si>
  <si>
    <t>Buffie</t>
  </si>
  <si>
    <r>
      <rPr>
        <u val="single"/>
        <sz val="10"/>
        <color indexed="8"/>
        <rFont val="Helvetica Neue"/>
      </rPr>
      <t>https://brawlstars.fandom.com/wiki/Mega_Pig</t>
    </r>
  </si>
  <si>
    <r>
      <rPr>
        <u val="single"/>
        <sz val="10"/>
        <color indexed="8"/>
        <rFont val="Helvetica Neue"/>
      </rPr>
      <t>https://docs.google.com/document/d/1PbqTDjwGPuzl7F7BSsfYLgZKp2scx4zprCahzk_HGnY/edit?tab=t.0</t>
    </r>
  </si>
  <si>
    <r>
      <rPr>
        <u val="single"/>
        <sz val="10"/>
        <color indexed="8"/>
        <rFont val="Helvetica Neue"/>
      </rPr>
      <t>https://brawlstars.fandom.com/wiki/Rush_Events</t>
    </r>
  </si>
  <si>
    <t>Championship Chall</t>
  </si>
  <si>
    <r>
      <rPr>
        <u val="single"/>
        <sz val="10"/>
        <color indexed="8"/>
        <rFont val="Helvetica Neue"/>
      </rPr>
      <t>https://brawlstars.fandom.com/wiki/Brawl_Stars_Championship</t>
    </r>
  </si>
  <si>
    <t>Value Transfers</t>
  </si>
  <si>
    <t>Buffie (or Key)</t>
  </si>
  <si>
    <t>Total daily income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</si>
</sst>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"/>
    <numFmt numFmtId="60" formatCode="[$€-2] 0.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1" fontId="0" borderId="3" applyNumberFormat="1" applyFont="1" applyFill="0" applyBorder="1" applyAlignment="1" applyProtection="0">
      <alignment vertical="top" wrapText="1"/>
    </xf>
    <xf numFmtId="1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1" fontId="0" borderId="6" applyNumberFormat="1" applyFont="1" applyFill="0" applyBorder="1" applyAlignment="1" applyProtection="0">
      <alignment vertical="top" wrapText="1"/>
    </xf>
    <xf numFmtId="1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60" fontId="0" borderId="6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rawlstars.fandom.com/wiki/Daily_Streak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brawlstars.fandom.com/wiki/Mega_Pig" TargetMode="External"/><Relationship Id="rId2" Type="http://schemas.openxmlformats.org/officeDocument/2006/relationships/hyperlink" Target="https://docs.google.com/document/d/1PbqTDjwGPuzl7F7BSsfYLgZKp2scx4zprCahzk_HGnY/edit?tab=t.0" TargetMode="External"/><Relationship Id="rId3" Type="http://schemas.openxmlformats.org/officeDocument/2006/relationships/hyperlink" Target="https://brawlstars.fandom.com/wiki/Rush_Events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brawlstars.fandom.com/wiki/Brawl_Stars_Championship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1" customWidth="1"/>
    <col min="2" max="2" width="16.3516" style="1" customWidth="1"/>
    <col min="3" max="3" width="18.3516" style="1" customWidth="1"/>
    <col min="4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s="5">
        <v>0</v>
      </c>
      <c r="C3" s="6">
        <v>20</v>
      </c>
      <c r="D3" s="6">
        <v>50</v>
      </c>
      <c r="E3" s="6" cm="1">
        <f t="array" ref="E3">1025/60</f>
        <v>17.0833333333333</v>
      </c>
    </row>
    <row r="4" ht="20.05" customHeight="1">
      <c r="A4" t="s" s="7">
        <v>7</v>
      </c>
      <c r="B4" s="8">
        <v>0</v>
      </c>
      <c r="C4" s="9">
        <v>15</v>
      </c>
      <c r="D4" s="9">
        <v>25</v>
      </c>
      <c r="E4" s="9" cm="1">
        <f t="array" ref="E4">145/60</f>
        <v>2.41666666666667</v>
      </c>
    </row>
    <row r="5" ht="20.05" customHeight="1">
      <c r="A5" t="s" s="7">
        <v>8</v>
      </c>
      <c r="B5" s="8">
        <v>0</v>
      </c>
      <c r="C5" s="9">
        <v>5</v>
      </c>
      <c r="D5" s="9">
        <v>10</v>
      </c>
      <c r="E5" s="9">
        <v>2.91666666666667</v>
      </c>
    </row>
    <row r="6" ht="20.05" customHeight="1">
      <c r="A6" t="s" s="7">
        <v>9</v>
      </c>
      <c r="B6" s="8">
        <v>0</v>
      </c>
      <c r="C6" s="9">
        <v>0</v>
      </c>
      <c r="D6" s="9">
        <v>10</v>
      </c>
      <c r="E6" s="9">
        <v>7.91666666666667</v>
      </c>
    </row>
    <row r="7" ht="20.05" customHeight="1">
      <c r="A7" t="s" s="7">
        <v>10</v>
      </c>
      <c r="B7" s="8">
        <v>0</v>
      </c>
      <c r="C7" s="9">
        <v>0</v>
      </c>
      <c r="D7" s="9">
        <v>0.2</v>
      </c>
      <c r="E7" s="9" cm="1">
        <f t="array" ref="E7">6/60</f>
        <v>0.1</v>
      </c>
    </row>
    <row r="8" ht="20.05" customHeight="1">
      <c r="A8" t="s" s="7">
        <v>11</v>
      </c>
      <c r="B8" s="8">
        <v>0</v>
      </c>
      <c r="C8" s="9">
        <v>0</v>
      </c>
      <c r="D8" s="9">
        <v>0</v>
      </c>
      <c r="E8" s="9">
        <v>0</v>
      </c>
    </row>
    <row r="9" ht="20.05" customHeight="1">
      <c r="A9" t="s" s="7">
        <v>12</v>
      </c>
      <c r="B9" s="8">
        <v>0</v>
      </c>
      <c r="C9" s="9">
        <v>0</v>
      </c>
      <c r="D9" s="9">
        <v>0</v>
      </c>
      <c r="E9" s="9">
        <v>0</v>
      </c>
    </row>
    <row r="10" ht="20.05" customHeight="1">
      <c r="A10" t="s" s="7">
        <v>13</v>
      </c>
      <c r="B10" s="8">
        <v>0</v>
      </c>
      <c r="C10" s="9">
        <v>0</v>
      </c>
      <c r="D10" s="9">
        <v>0</v>
      </c>
      <c r="E10" s="9">
        <v>0</v>
      </c>
    </row>
    <row r="11" ht="20.05" customHeight="1">
      <c r="A11" t="s" s="7">
        <v>14</v>
      </c>
      <c r="B11" s="8">
        <v>5</v>
      </c>
      <c r="C11" s="9">
        <v>0</v>
      </c>
      <c r="D11" s="9">
        <v>0</v>
      </c>
      <c r="E11" s="9">
        <v>9</v>
      </c>
    </row>
    <row r="12" ht="20.05" customHeight="1">
      <c r="A12" t="s" s="7">
        <v>15</v>
      </c>
      <c r="B12" s="8">
        <v>0</v>
      </c>
      <c r="C12" s="9">
        <v>0</v>
      </c>
      <c r="D12" s="9">
        <v>0</v>
      </c>
      <c r="E12" s="9">
        <v>0</v>
      </c>
    </row>
    <row r="13" ht="20.05" customHeight="1">
      <c r="A13" t="s" s="7">
        <v>16</v>
      </c>
      <c r="B13" s="8">
        <v>0</v>
      </c>
      <c r="C13" s="9">
        <v>0</v>
      </c>
      <c r="D13" s="9">
        <v>0</v>
      </c>
      <c r="E13" s="9">
        <v>0</v>
      </c>
    </row>
    <row r="14" ht="20.05" customHeight="1">
      <c r="A14" t="s" s="7">
        <v>17</v>
      </c>
      <c r="B14" s="8">
        <v>0</v>
      </c>
      <c r="C14" s="9">
        <v>0</v>
      </c>
      <c r="D14" s="9">
        <v>0</v>
      </c>
      <c r="E14" s="9">
        <v>0</v>
      </c>
    </row>
    <row r="15" ht="20.05" customHeight="1">
      <c r="A15" t="s" s="7">
        <v>18</v>
      </c>
      <c r="B15" s="8">
        <v>1</v>
      </c>
      <c r="C15" s="9">
        <v>0</v>
      </c>
      <c r="D15" s="9">
        <v>0</v>
      </c>
      <c r="E15" s="9">
        <v>0</v>
      </c>
    </row>
    <row r="16" ht="20.05" customHeight="1">
      <c r="A16" t="s" s="7">
        <v>19</v>
      </c>
      <c r="B16" s="8">
        <v>0</v>
      </c>
      <c r="C16" s="9">
        <v>0</v>
      </c>
      <c r="D16" s="9">
        <v>0</v>
      </c>
      <c r="E16" s="9">
        <v>1</v>
      </c>
    </row>
    <row r="17" ht="20.05" customHeight="1">
      <c r="A17" t="s" s="7">
        <v>20</v>
      </c>
      <c r="B17" s="8">
        <v>0</v>
      </c>
      <c r="C17" s="9">
        <v>0</v>
      </c>
      <c r="D17" s="9">
        <v>0</v>
      </c>
      <c r="E17" s="9">
        <v>0</v>
      </c>
    </row>
    <row r="18" ht="20.05" customHeight="1">
      <c r="A18" s="10"/>
      <c r="B18" s="11"/>
      <c r="C18" s="12"/>
      <c r="D18" s="12"/>
      <c r="E18" s="12"/>
    </row>
    <row r="19" ht="20.05" customHeight="1">
      <c r="A19" s="10"/>
      <c r="B19" s="11"/>
      <c r="C19" s="13"/>
      <c r="D19" s="13"/>
      <c r="E19" s="13"/>
    </row>
    <row r="20" ht="20.05" customHeight="1">
      <c r="A20" s="10"/>
      <c r="B20" s="11"/>
      <c r="C20" s="13"/>
      <c r="D20" s="13"/>
      <c r="E20" s="13"/>
    </row>
    <row r="21" ht="20.05" customHeight="1">
      <c r="A21" s="10"/>
      <c r="B21" s="11"/>
      <c r="C21" s="13"/>
      <c r="D21" s="13"/>
      <c r="E21" s="13"/>
    </row>
    <row r="22" ht="20.05" customHeight="1">
      <c r="A22" s="10"/>
      <c r="B22" s="11"/>
      <c r="C22" s="13"/>
      <c r="D22" s="13"/>
      <c r="E22" s="13"/>
    </row>
    <row r="23" ht="20.05" customHeight="1">
      <c r="A23" t="s" s="7">
        <v>21</v>
      </c>
      <c r="B23" s="14">
        <v>365</v>
      </c>
      <c r="C23" s="15">
        <v>365</v>
      </c>
      <c r="D23" t="s" s="16">
        <v>22</v>
      </c>
      <c r="E23" s="15">
        <v>365</v>
      </c>
    </row>
    <row r="24" ht="20.05" customHeight="1">
      <c r="A24" t="s" s="7">
        <v>23</v>
      </c>
      <c r="B24" s="17">
        <v>0</v>
      </c>
      <c r="C24" s="18">
        <v>0</v>
      </c>
      <c r="D24" s="18">
        <v>0</v>
      </c>
      <c r="E24" s="18">
        <v>0</v>
      </c>
    </row>
    <row r="25" ht="20.05" customHeight="1">
      <c r="A25" t="s" s="7">
        <v>24</v>
      </c>
      <c r="B25" s="14">
        <v>1</v>
      </c>
      <c r="C25" s="15">
        <v>1</v>
      </c>
      <c r="D25" s="13"/>
      <c r="E25" s="15">
        <v>1</v>
      </c>
    </row>
    <row r="26" ht="20.05" customHeight="1">
      <c r="A26" t="s" s="7">
        <v>25</v>
      </c>
      <c r="B26" s="8" cm="1">
        <f t="array" ref="B26">SUM(B$3:B$18*'ValueTransfer'!$B$3:$B$18)</f>
        <v>676.2</v>
      </c>
      <c r="C26" s="9" cm="1">
        <f t="array" ref="C26">SUM(C$3:C$18*'ValueTransfer'!$B$3:$B$18)</f>
        <v>20</v>
      </c>
      <c r="D26" s="9" cm="1">
        <f t="array" ref="D26">SUM(D$3:D$18*'ValueTransfer'!$B$3:$B$18)</f>
        <v>50</v>
      </c>
      <c r="E26" s="9" cm="1">
        <f t="array" ref="E26">SUM(E$3:E$18*'ValueTransfer'!$B$3:$B$18)</f>
        <v>5650.683333333330</v>
      </c>
    </row>
    <row r="27" ht="20.05" customHeight="1">
      <c r="A27" t="s" s="7">
        <v>26</v>
      </c>
      <c r="B27" s="8" cm="1">
        <f t="array" ref="B27">SUM(B$3:B$18*'ValueTransfer'!$C$3:$C$18)</f>
        <v>128.2</v>
      </c>
      <c r="C27" s="9" cm="1">
        <f t="array" ref="C27">SUM(C$3:C$18*'ValueTransfer'!$C$3:$C$18)</f>
        <v>15</v>
      </c>
      <c r="D27" s="9" cm="1">
        <f t="array" ref="D27">SUM(D$3:D$18*'ValueTransfer'!$C$3:$C$18)</f>
        <v>25</v>
      </c>
      <c r="E27" s="9" cm="1">
        <f t="array" ref="E27">SUM(E$3:E$18*'ValueTransfer'!$C$3:$C$18)</f>
        <v>126.616666666667</v>
      </c>
    </row>
    <row r="28" ht="20.05" customHeight="1">
      <c r="A28" t="s" s="7">
        <v>27</v>
      </c>
      <c r="B28" s="8" cm="1">
        <f t="array" ref="B28">SUM(B$3:B$18*'ValueTransfer'!$D$3:$D$18)</f>
        <v>96.5</v>
      </c>
      <c r="C28" s="9" cm="1">
        <f t="array" ref="C28">SUM(C$3:C$18*'ValueTransfer'!$D$3:$D$18)</f>
        <v>5</v>
      </c>
      <c r="D28" s="9" cm="1">
        <f t="array" ref="D28">SUM(D$3:D$18*'ValueTransfer'!$D$3:$D$18)</f>
        <v>10</v>
      </c>
      <c r="E28" s="9" cm="1">
        <f t="array" ref="E28">SUM(E$3:E$18*'ValueTransfer'!$D$3:$D$18)</f>
        <v>81.2166666666667</v>
      </c>
    </row>
    <row r="29" ht="20.05" customHeight="1">
      <c r="A29" t="s" s="7">
        <v>28</v>
      </c>
      <c r="B29" s="8" cm="1">
        <f t="array" ref="B29">SUM(B$3:B$18*'ValueTransfer'!$E$3:$E$18)</f>
        <v>0</v>
      </c>
      <c r="C29" s="9" cm="1">
        <f t="array" ref="C29">SUM(C$3:C$18*'ValueTransfer'!$E$3:$E$18)</f>
        <v>0</v>
      </c>
      <c r="D29" s="9" cm="1">
        <f t="array" ref="D29">SUM(D$3:D$18*'ValueTransfer'!$E$3:$E$18)</f>
        <v>10</v>
      </c>
      <c r="E29" s="9" cm="1">
        <f t="array" ref="E29">SUM(E$3:E$18*'ValueTransfer'!$E$3:$E$18)</f>
        <v>7.91666666666667</v>
      </c>
    </row>
    <row r="30" ht="20.05" customHeight="1">
      <c r="A30" s="10"/>
      <c r="B30" s="8"/>
      <c r="C30" s="9"/>
      <c r="D30" s="9"/>
      <c r="E30" s="9"/>
    </row>
    <row r="31" ht="20.05" customHeight="1">
      <c r="A31" t="s" s="7">
        <v>29</v>
      </c>
      <c r="B31" s="8" cm="1">
        <f t="array" ref="B31">SUM(B$3:B$18*'ValueTransfer'!$B$3:$B$18)/B$25</f>
        <v>676.2</v>
      </c>
      <c r="C31" s="9" cm="1">
        <f t="array" ref="C31">SUM(C$3:C$18*'ValueTransfer'!$B$3:$B$18)/C$25</f>
        <v>20</v>
      </c>
      <c r="D31" s="9"/>
      <c r="E31" s="9" cm="1">
        <f t="array" ref="E31">SUM(E$3:E$18*'ValueTransfer'!$B$3:$B$18)/E$25</f>
        <v>5650.683333333330</v>
      </c>
    </row>
    <row r="32" ht="20.05" customHeight="1">
      <c r="A32" t="s" s="7">
        <v>30</v>
      </c>
      <c r="B32" s="8" cm="1">
        <f t="array" ref="B32">SUM(B$3:B$18*'ValueTransfer'!$C$3:$C$18)/B$25</f>
        <v>128.2</v>
      </c>
      <c r="C32" s="9" cm="1">
        <f t="array" ref="C32">SUM(C$3:C$18*'ValueTransfer'!$C$3:$C$18)/C$25</f>
        <v>15</v>
      </c>
      <c r="D32" s="9"/>
      <c r="E32" s="9" cm="1">
        <f t="array" ref="E32">SUM(E$3:E$18*'ValueTransfer'!$C$3:$C$18)/E$25</f>
        <v>126.616666666667</v>
      </c>
    </row>
    <row r="33" ht="20.05" customHeight="1">
      <c r="A33" t="s" s="7">
        <v>31</v>
      </c>
      <c r="B33" s="8" cm="1">
        <f t="array" ref="B33">SUM(B$3:B$18*'ValueTransfer'!$D$3:$D$18)/B$25</f>
        <v>96.5</v>
      </c>
      <c r="C33" s="9" cm="1">
        <f t="array" ref="C33">SUM(C$3:C$18*'ValueTransfer'!$D$3:$D$18)/C$25</f>
        <v>5</v>
      </c>
      <c r="D33" s="9"/>
      <c r="E33" s="9" cm="1">
        <f t="array" ref="E33">SUM(E$3:E$18*'ValueTransfer'!$D$3:$D$18)/E$25</f>
        <v>81.2166666666667</v>
      </c>
    </row>
    <row r="34" ht="20.05" customHeight="1">
      <c r="A34" t="s" s="7">
        <v>32</v>
      </c>
      <c r="B34" s="8" cm="1">
        <f t="array" ref="B34">SUM(B$3:B$18*'ValueTransfer'!$E$3:$E$18)/B$25</f>
        <v>0</v>
      </c>
      <c r="C34" s="9" cm="1">
        <f t="array" ref="C34">SUM(C$3:C$18*'ValueTransfer'!$E$3:$E$18)/C$25</f>
        <v>0</v>
      </c>
      <c r="D34" s="9"/>
      <c r="E34" s="9" cm="1">
        <f t="array" ref="E34">SUM(E$3:E$18*'ValueTransfer'!$E$3:$E$18)/E$25</f>
        <v>7.91666666666667</v>
      </c>
    </row>
    <row r="35" ht="20.05" customHeight="1">
      <c r="A35" s="10"/>
      <c r="B35" s="8"/>
      <c r="C35" s="13"/>
      <c r="D35" s="13"/>
      <c r="E35" s="13"/>
    </row>
    <row r="36" ht="56.05" customHeight="1">
      <c r="A36" t="s" s="7">
        <v>33</v>
      </c>
      <c r="B36" s="8"/>
      <c r="C36" s="13"/>
      <c r="D36" s="13"/>
      <c r="E36" t="s" s="16">
        <v>34</v>
      </c>
    </row>
    <row r="37" ht="20.05" customHeight="1">
      <c r="A37" s="10"/>
      <c r="B37" s="8"/>
      <c r="C37" s="13"/>
      <c r="D37" s="13"/>
      <c r="E37" s="13"/>
    </row>
    <row r="38" ht="20.05" customHeight="1">
      <c r="A38" s="10"/>
      <c r="B38" s="8"/>
      <c r="C38" s="13"/>
      <c r="D38" s="13"/>
      <c r="E38" s="13"/>
    </row>
    <row r="39" ht="20.05" customHeight="1">
      <c r="A39" s="10"/>
      <c r="B39" s="8"/>
      <c r="C39" s="13"/>
      <c r="D39" s="13"/>
      <c r="E39" s="13"/>
    </row>
  </sheetData>
  <mergeCells count="1">
    <mergeCell ref="A1:E1"/>
  </mergeCells>
  <hyperlinks>
    <hyperlink ref="E36" r:id="rId1" location="" tooltip="" display="https://brawlstars.fandom.com/wiki/Daily_Streak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G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19" customWidth="1"/>
    <col min="2" max="7" width="16.3516" style="19" customWidth="1"/>
    <col min="8" max="16384" width="16.3516" style="19" customWidth="1"/>
  </cols>
  <sheetData>
    <row r="1" ht="27.65" customHeight="1">
      <c r="A1" t="s" s="2">
        <v>35</v>
      </c>
      <c r="B1" s="2"/>
      <c r="C1" s="2"/>
      <c r="D1" s="2"/>
      <c r="E1" s="2"/>
      <c r="F1" s="2"/>
      <c r="G1" s="2"/>
    </row>
    <row r="2" ht="20.25" customHeight="1">
      <c r="A2" t="s" s="3">
        <v>36</v>
      </c>
      <c r="B2" t="s" s="3">
        <v>37</v>
      </c>
      <c r="C2" t="s" s="3">
        <v>38</v>
      </c>
      <c r="D2" t="s" s="3">
        <v>39</v>
      </c>
      <c r="E2" t="s" s="3">
        <v>40</v>
      </c>
      <c r="F2" s="20"/>
      <c r="G2" s="20"/>
    </row>
    <row r="3" ht="20.25" customHeight="1">
      <c r="A3" t="s" s="4">
        <v>6</v>
      </c>
      <c r="B3" s="21" cm="1">
        <f t="array" ref="B3">12500+500</f>
        <v>13000</v>
      </c>
      <c r="C3" s="22" cm="1">
        <f t="array" ref="C3">9500+500+B3</f>
        <v>23000</v>
      </c>
      <c r="D3" s="22" cm="1">
        <f t="array" ref="D3">12500+500+B3</f>
        <v>26000</v>
      </c>
      <c r="E3" s="22">
        <v>50</v>
      </c>
      <c r="F3" s="23"/>
      <c r="G3" s="23"/>
    </row>
    <row r="4" ht="20.05" customHeight="1">
      <c r="A4" t="s" s="7">
        <v>7</v>
      </c>
      <c r="B4" s="14" cm="1">
        <f t="array" ref="B4">3600+1000</f>
        <v>4600</v>
      </c>
      <c r="C4" s="15" cm="1">
        <f t="array" ref="C4">2500+1000+B4</f>
        <v>8100</v>
      </c>
      <c r="D4" s="15" cm="1">
        <f t="array" ref="D4">4000+1000+B4</f>
        <v>9600</v>
      </c>
      <c r="E4" s="15">
        <v>20</v>
      </c>
      <c r="F4" s="13"/>
      <c r="G4" s="13"/>
    </row>
    <row r="5" ht="20.05" customHeight="1">
      <c r="A5" t="s" s="7">
        <v>8</v>
      </c>
      <c r="B5" s="14">
        <v>1400</v>
      </c>
      <c r="C5" s="15" cm="1">
        <f t="array" ref="C5">2500+B5</f>
        <v>3900</v>
      </c>
      <c r="D5" s="15" cm="1">
        <f t="array" ref="D5">2500+B5</f>
        <v>3900</v>
      </c>
      <c r="E5" s="15">
        <v>20</v>
      </c>
      <c r="F5" s="13"/>
      <c r="G5" s="13"/>
    </row>
    <row r="6" ht="20.05" customHeight="1">
      <c r="A6" t="s" s="7">
        <v>9</v>
      </c>
      <c r="B6" s="14">
        <v>200</v>
      </c>
      <c r="C6" s="15" cm="1">
        <f t="array" ref="C6">3200+B6</f>
        <v>3400</v>
      </c>
      <c r="D6" s="15" cm="1">
        <f t="array" ref="D6">4700+B6</f>
        <v>4900</v>
      </c>
      <c r="E6" s="15">
        <v>20</v>
      </c>
      <c r="F6" s="13"/>
      <c r="G6" s="13"/>
    </row>
    <row r="7" ht="20.05" customHeight="1">
      <c r="A7" t="s" s="7">
        <v>10</v>
      </c>
      <c r="B7" s="14" cm="1">
        <f t="array" ref="B7">50+30</f>
        <v>80</v>
      </c>
      <c r="C7" s="15" cm="1">
        <f t="array" ref="C7">50+B7</f>
        <v>130</v>
      </c>
      <c r="D7" s="15" cm="1">
        <f t="array" ref="D7">150+B7</f>
        <v>230</v>
      </c>
      <c r="E7" s="15">
        <v>0</v>
      </c>
      <c r="F7" s="13"/>
      <c r="G7" s="13"/>
    </row>
    <row r="8" ht="20.05" customHeight="1">
      <c r="A8" t="s" s="7">
        <v>11</v>
      </c>
      <c r="B8" s="14">
        <v>0</v>
      </c>
      <c r="C8" s="15">
        <v>1</v>
      </c>
      <c r="D8" s="15">
        <v>2</v>
      </c>
      <c r="E8" s="15">
        <v>0</v>
      </c>
      <c r="F8" s="13"/>
      <c r="G8" s="13"/>
    </row>
    <row r="9" ht="20.05" customHeight="1">
      <c r="A9" t="s" s="7">
        <v>12</v>
      </c>
      <c r="B9" s="14">
        <v>1</v>
      </c>
      <c r="C9" s="15">
        <v>2</v>
      </c>
      <c r="D9" s="15">
        <v>3</v>
      </c>
      <c r="E9" s="15">
        <v>0</v>
      </c>
      <c r="F9" s="13"/>
      <c r="G9" s="13"/>
    </row>
    <row r="10" ht="20.05" customHeight="1">
      <c r="A10" t="s" s="7">
        <v>13</v>
      </c>
      <c r="B10" s="14">
        <v>1</v>
      </c>
      <c r="C10" s="15" cm="1">
        <f t="array" ref="C10">0+B10</f>
        <v>1</v>
      </c>
      <c r="D10" s="15" cm="1">
        <f t="array" ref="D10">1+B10</f>
        <v>2</v>
      </c>
      <c r="E10" s="15">
        <v>0</v>
      </c>
      <c r="F10" s="13"/>
      <c r="G10" s="13"/>
    </row>
    <row r="11" ht="20.05" customHeight="1">
      <c r="A11" t="s" s="7">
        <v>14</v>
      </c>
      <c r="B11" s="14" cm="1">
        <f t="array" ref="B11">18+8</f>
        <v>26</v>
      </c>
      <c r="C11" s="15" cm="1">
        <f t="array" ref="C11">B11</f>
        <v>26</v>
      </c>
      <c r="D11" s="15" cm="1">
        <f t="array" ref="D11">B11</f>
        <v>26</v>
      </c>
      <c r="E11" s="15">
        <v>0</v>
      </c>
      <c r="F11" s="13"/>
      <c r="G11" s="13"/>
    </row>
    <row r="12" ht="20.05" customHeight="1">
      <c r="A12" t="s" s="7">
        <v>15</v>
      </c>
      <c r="B12" s="14">
        <v>0</v>
      </c>
      <c r="C12" s="15" cm="1">
        <f t="array" ref="C12">B12</f>
        <v>0</v>
      </c>
      <c r="D12" s="15" cm="1">
        <f t="array" ref="D12">B12</f>
        <v>0</v>
      </c>
      <c r="E12" s="15">
        <v>0</v>
      </c>
      <c r="F12" s="13"/>
      <c r="G12" s="13"/>
    </row>
    <row r="13" ht="20.05" customHeight="1">
      <c r="A13" t="s" s="7">
        <v>16</v>
      </c>
      <c r="B13" s="14">
        <v>0</v>
      </c>
      <c r="C13" s="15" cm="1">
        <f t="array" ref="C13">B13</f>
        <v>0</v>
      </c>
      <c r="D13" s="15" cm="1">
        <f t="array" ref="D13">B13</f>
        <v>0</v>
      </c>
      <c r="E13" s="15">
        <v>0</v>
      </c>
      <c r="F13" s="13"/>
      <c r="G13" s="13"/>
    </row>
    <row r="14" ht="20.05" customHeight="1">
      <c r="A14" t="s" s="7">
        <v>17</v>
      </c>
      <c r="B14" s="14">
        <v>1</v>
      </c>
      <c r="C14" s="15" cm="1">
        <f t="array" ref="C14">B14</f>
        <v>1</v>
      </c>
      <c r="D14" s="15" cm="1">
        <f t="array" ref="D14">B14</f>
        <v>1</v>
      </c>
      <c r="E14" s="15">
        <v>0</v>
      </c>
      <c r="F14" s="13"/>
      <c r="G14" s="13"/>
    </row>
    <row r="15" ht="20.05" customHeight="1">
      <c r="A15" t="s" s="7">
        <v>18</v>
      </c>
      <c r="B15" s="14">
        <v>6</v>
      </c>
      <c r="C15" s="15" cm="1">
        <f t="array" ref="C15">B15+3</f>
        <v>9</v>
      </c>
      <c r="D15" s="15" cm="1">
        <f t="array" ref="D15">B15+3</f>
        <v>9</v>
      </c>
      <c r="E15" s="15">
        <v>0</v>
      </c>
      <c r="F15" s="13"/>
      <c r="G15" s="13"/>
    </row>
    <row r="16" ht="20.05" customHeight="1">
      <c r="A16" t="s" s="7">
        <v>19</v>
      </c>
      <c r="B16" s="14">
        <v>0</v>
      </c>
      <c r="C16" s="15" cm="1">
        <f t="array" ref="C16">B16</f>
        <v>0</v>
      </c>
      <c r="D16" s="15" cm="1">
        <f t="array" ref="D16">B16</f>
        <v>0</v>
      </c>
      <c r="E16" s="15">
        <v>0</v>
      </c>
      <c r="F16" s="13"/>
      <c r="G16" s="13"/>
    </row>
    <row r="17" ht="20.05" customHeight="1">
      <c r="A17" t="s" s="7">
        <v>20</v>
      </c>
      <c r="B17" s="14">
        <v>0</v>
      </c>
      <c r="C17" s="15" cm="1">
        <f t="array" ref="C17">B17</f>
        <v>0</v>
      </c>
      <c r="D17" s="15" cm="1">
        <f t="array" ref="D17">B17</f>
        <v>0</v>
      </c>
      <c r="E17" s="15">
        <v>0</v>
      </c>
      <c r="F17" s="13"/>
      <c r="G17" s="13"/>
    </row>
    <row r="18" ht="20.05" customHeight="1">
      <c r="A18" t="s" s="7">
        <v>41</v>
      </c>
      <c r="B18" s="24" cm="1">
        <f t="array" ref="B18">16500+(400+1000)*B25</f>
        <v>59083.3333333334</v>
      </c>
      <c r="C18" s="12" cm="1">
        <f t="array" ref="C18">$B18+7500+(200+500)*C25</f>
        <v>87875.0000000001</v>
      </c>
      <c r="D18" s="12" cm="1">
        <f t="array" ref="D18">$B18+7500+(200+500)*D25</f>
        <v>87875.0000000001</v>
      </c>
      <c r="E18" s="15">
        <v>0</v>
      </c>
      <c r="F18" s="13"/>
      <c r="G18" s="13"/>
    </row>
    <row r="19" ht="20.05" customHeight="1">
      <c r="A19" t="s" s="7">
        <v>42</v>
      </c>
      <c r="B19" s="14" cm="1">
        <f t="array" ref="B19">2+2</f>
        <v>4</v>
      </c>
      <c r="C19" s="15" cm="1">
        <f t="array" ref="C19">0+B19</f>
        <v>4</v>
      </c>
      <c r="D19" s="15" cm="1">
        <f t="array" ref="D19">0+B19</f>
        <v>4</v>
      </c>
      <c r="E19" s="15">
        <v>0</v>
      </c>
      <c r="F19" s="13"/>
      <c r="G19" s="13"/>
    </row>
    <row r="20" ht="20.05" customHeight="1">
      <c r="A20" s="10"/>
      <c r="B20" s="11"/>
      <c r="C20" s="13"/>
      <c r="D20" s="13"/>
      <c r="E20" s="13"/>
      <c r="F20" s="13"/>
      <c r="G20" s="13"/>
    </row>
    <row r="21" ht="20.05" customHeight="1">
      <c r="A21" s="10"/>
      <c r="B21" s="11"/>
      <c r="C21" s="13"/>
      <c r="D21" s="13"/>
      <c r="E21" s="13"/>
      <c r="F21" s="13"/>
      <c r="G21" s="13"/>
    </row>
    <row r="22" ht="20.05" customHeight="1">
      <c r="A22" s="10"/>
      <c r="B22" s="11"/>
      <c r="C22" s="13"/>
      <c r="D22" s="13"/>
      <c r="E22" s="13"/>
      <c r="F22" s="13"/>
      <c r="G22" s="13"/>
    </row>
    <row r="23" ht="20.05" customHeight="1">
      <c r="A23" t="s" s="7">
        <v>21</v>
      </c>
      <c r="B23" s="14">
        <v>12</v>
      </c>
      <c r="C23" s="15">
        <v>12</v>
      </c>
      <c r="D23" s="15">
        <v>12</v>
      </c>
      <c r="E23" s="13"/>
      <c r="F23" s="13"/>
      <c r="G23" s="13"/>
    </row>
    <row r="24" ht="20.05" customHeight="1">
      <c r="A24" t="s" s="7">
        <v>23</v>
      </c>
      <c r="B24" s="17">
        <v>0</v>
      </c>
      <c r="C24" s="18">
        <v>6.49</v>
      </c>
      <c r="D24" s="18">
        <v>9.99</v>
      </c>
      <c r="E24" s="18">
        <v>0</v>
      </c>
      <c r="F24" s="13"/>
      <c r="G24" s="13"/>
    </row>
    <row r="25" ht="20.05" customHeight="1">
      <c r="A25" t="s" s="7">
        <v>24</v>
      </c>
      <c r="B25" s="24" cm="1">
        <f t="array" ref="B25">365/12</f>
        <v>30.4166666666667</v>
      </c>
      <c r="C25" s="12" cm="1">
        <f t="array" ref="C25">365/12</f>
        <v>30.4166666666667</v>
      </c>
      <c r="D25" s="12" cm="1">
        <f t="array" ref="D25">365/12</f>
        <v>30.4166666666667</v>
      </c>
      <c r="E25" s="12" cm="1">
        <f t="array" ref="E25">365/12</f>
        <v>30.4166666666667</v>
      </c>
      <c r="F25" s="13"/>
      <c r="G25" s="13"/>
    </row>
    <row r="26" ht="20.05" customHeight="1">
      <c r="A26" t="s" s="7">
        <v>25</v>
      </c>
      <c r="B26" s="8" cm="1">
        <f t="array" ref="B26">SUM(B$3:B$18*'ValueTransfer'!$B$3:$B$18)</f>
        <v>17846</v>
      </c>
      <c r="C26" s="9" cm="1">
        <f t="array" ref="C26">SUM(C$3:C$18*'ValueTransfer'!$B$3:$B$18)</f>
        <v>28818.6</v>
      </c>
      <c r="D26" s="9" cm="1">
        <f t="array" ref="D26">SUM(D$3:D$18*'ValueTransfer'!$B$3:$B$18)</f>
        <v>32818.6</v>
      </c>
      <c r="E26" s="9" cm="1">
        <f t="array" ref="E26">SUM(E$3:E$18*'ValueTransfer'!$B$3:$B$18)</f>
        <v>50</v>
      </c>
      <c r="F26" s="13"/>
      <c r="G26" s="13"/>
    </row>
    <row r="27" ht="20.05" customHeight="1">
      <c r="A27" t="s" s="7">
        <v>26</v>
      </c>
      <c r="B27" s="8" cm="1">
        <f t="array" ref="B27">SUM(B$3:B$18*'ValueTransfer'!$C$3:$C$18)</f>
        <v>9327.799999999999</v>
      </c>
      <c r="C27" s="9" cm="1">
        <f t="array" ref="C27">SUM(C$3:C$18*'ValueTransfer'!$C$3:$C$18)</f>
        <v>15005.4</v>
      </c>
      <c r="D27" s="9" cm="1">
        <f t="array" ref="D27">SUM(D$3:D$18*'ValueTransfer'!$C$3:$C$18)</f>
        <v>20505.4</v>
      </c>
      <c r="E27" s="9" cm="1">
        <f t="array" ref="E27">SUM(E$3:E$18*'ValueTransfer'!$C$3:$C$18)</f>
        <v>20</v>
      </c>
      <c r="F27" s="13"/>
      <c r="G27" s="13"/>
    </row>
    <row r="28" ht="20.05" customHeight="1">
      <c r="A28" t="s" s="7">
        <v>27</v>
      </c>
      <c r="B28" s="8" cm="1">
        <f t="array" ref="B28">SUM(B$3:B$18*'ValueTransfer'!$D$3:$D$18)</f>
        <v>1952.9</v>
      </c>
      <c r="C28" s="9" cm="1">
        <f t="array" ref="C28">SUM(C$3:C$18*'ValueTransfer'!$D$3:$D$18)</f>
        <v>5561.9</v>
      </c>
      <c r="D28" s="9" cm="1">
        <f t="array" ref="D28">SUM(D$3:D$18*'ValueTransfer'!$D$3:$D$18)</f>
        <v>6511.9</v>
      </c>
      <c r="E28" s="9" cm="1">
        <f t="array" ref="E28">SUM(E$3:E$18*'ValueTransfer'!$D$3:$D$18)</f>
        <v>20</v>
      </c>
      <c r="F28" s="13"/>
      <c r="G28" s="13"/>
    </row>
    <row r="29" ht="20.05" customHeight="1">
      <c r="A29" t="s" s="7">
        <v>28</v>
      </c>
      <c r="B29" s="8" cm="1">
        <f t="array" ref="B29">SUM(B$3:B$18*'ValueTransfer'!$E$3:$E$18)</f>
        <v>200</v>
      </c>
      <c r="C29" s="9" cm="1">
        <f t="array" ref="C29">SUM(C$3:C$18*'ValueTransfer'!$E$3:$E$18)</f>
        <v>3400</v>
      </c>
      <c r="D29" s="9" cm="1">
        <f t="array" ref="D29">SUM(D$3:D$18*'ValueTransfer'!$E$3:$E$18)</f>
        <v>4900</v>
      </c>
      <c r="E29" s="9" cm="1">
        <f t="array" ref="E29">SUM(E$3:E$18*'ValueTransfer'!$E$3:$E$18)</f>
        <v>20</v>
      </c>
      <c r="F29" s="13"/>
      <c r="G29" s="13"/>
    </row>
    <row r="30" ht="20.05" customHeight="1">
      <c r="A30" s="10"/>
      <c r="B30" s="8"/>
      <c r="C30" s="9"/>
      <c r="D30" s="9"/>
      <c r="E30" s="9"/>
      <c r="F30" s="13"/>
      <c r="G30" s="13"/>
    </row>
    <row r="31" ht="20.05" customHeight="1">
      <c r="A31" t="s" s="7">
        <v>29</v>
      </c>
      <c r="B31" s="8" cm="1">
        <f t="array" ref="B31">SUM(B$3:B$18*'ValueTransfer'!$B$3:$B$18)/B$25</f>
        <v>586.717808219177</v>
      </c>
      <c r="C31" s="9" cm="1">
        <f t="array" ref="C31">SUM(C$3:C$18*'ValueTransfer'!$B$3:$B$18)/C$25</f>
        <v>947.460821917807</v>
      </c>
      <c r="D31" s="9" cm="1">
        <f t="array" ref="D31">SUM(D$3:D$18*'ValueTransfer'!$B$3:$B$18)/D$25</f>
        <v>1078.967671232880</v>
      </c>
      <c r="E31" s="9" cm="1">
        <f t="array" ref="E31">SUM(E$3:E$18*'ValueTransfer'!$B$3:$B$18)/E$25</f>
        <v>1.64383561643835</v>
      </c>
      <c r="F31" s="13"/>
      <c r="G31" s="13"/>
    </row>
    <row r="32" ht="20.05" customHeight="1">
      <c r="A32" t="s" s="7">
        <v>30</v>
      </c>
      <c r="B32" s="8" cm="1">
        <f t="array" ref="B32">SUM(B$3:B$18*'ValueTransfer'!$C$3:$C$18)/B$25</f>
        <v>306.667397260274</v>
      </c>
      <c r="C32" s="9" cm="1">
        <f t="array" ref="C32">SUM(C$3:C$18*'ValueTransfer'!$C$3:$C$18)/C$25</f>
        <v>493.328219178082</v>
      </c>
      <c r="D32" s="9" cm="1">
        <f t="array" ref="D32">SUM(D$3:D$18*'ValueTransfer'!$C$3:$C$18)/D$25</f>
        <v>674.150136986301</v>
      </c>
      <c r="E32" s="9" cm="1">
        <f t="array" ref="E32">SUM(E$3:E$18*'ValueTransfer'!$C$3:$C$18)/E$25</f>
        <v>0.657534246575342</v>
      </c>
      <c r="F32" s="13"/>
      <c r="G32" s="13"/>
    </row>
    <row r="33" ht="20.05" customHeight="1">
      <c r="A33" t="s" s="7">
        <v>31</v>
      </c>
      <c r="B33" s="8" cm="1">
        <f t="array" ref="B33">SUM(B$3:B$18*'ValueTransfer'!$D$3:$D$18)/B$25</f>
        <v>64.20493150684921</v>
      </c>
      <c r="C33" s="9" cm="1">
        <f t="array" ref="C33">SUM(C$3:C$18*'ValueTransfer'!$D$3:$D$18)/C$25</f>
        <v>182.856986301370</v>
      </c>
      <c r="D33" s="9" cm="1">
        <f t="array" ref="D33">SUM(D$3:D$18*'ValueTransfer'!$D$3:$D$18)/D$25</f>
        <v>214.089863013698</v>
      </c>
      <c r="E33" s="9" cm="1">
        <f t="array" ref="E33">SUM(E$3:E$18*'ValueTransfer'!$D$3:$D$18)/E$25</f>
        <v>0.657534246575342</v>
      </c>
      <c r="F33" s="13"/>
      <c r="G33" s="13"/>
    </row>
    <row r="34" ht="20.05" customHeight="1">
      <c r="A34" t="s" s="7">
        <v>32</v>
      </c>
      <c r="B34" s="8" cm="1">
        <f t="array" ref="B34">SUM(B$3:B$18*'ValueTransfer'!$E$3:$E$18)/B$25</f>
        <v>6.57534246575342</v>
      </c>
      <c r="C34" s="9" cm="1">
        <f t="array" ref="C34">SUM(C$3:C$18*'ValueTransfer'!$E$3:$E$18)/C$25</f>
        <v>111.780821917808</v>
      </c>
      <c r="D34" s="9" cm="1">
        <f t="array" ref="D34">SUM(D$3:D$18*'ValueTransfer'!$E$3:$E$18)/D$25</f>
        <v>161.095890410959</v>
      </c>
      <c r="E34" s="9" cm="1">
        <f t="array" ref="E34">SUM(E$3:E$18*'ValueTransfer'!$E$3:$E$18)/E$25</f>
        <v>0.657534246575342</v>
      </c>
      <c r="F34" s="13"/>
      <c r="G34" s="13"/>
    </row>
    <row r="35" ht="20.05" customHeight="1">
      <c r="A35" s="10"/>
      <c r="B35" s="8"/>
      <c r="C35" s="9"/>
      <c r="D35" s="9"/>
      <c r="E35" s="9"/>
      <c r="F35" s="13"/>
      <c r="G35" s="13"/>
    </row>
    <row r="36" ht="32.05" customHeight="1">
      <c r="A36" t="s" s="7">
        <v>33</v>
      </c>
      <c r="B36" t="s" s="25">
        <v>43</v>
      </c>
      <c r="C36" t="s" s="16">
        <v>43</v>
      </c>
      <c r="D36" t="s" s="16">
        <v>43</v>
      </c>
      <c r="E36" t="s" s="16">
        <v>44</v>
      </c>
      <c r="F36" s="13"/>
      <c r="G36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26" customWidth="1"/>
    <col min="2" max="5" width="16.3516" style="26" customWidth="1"/>
    <col min="6" max="16384" width="16.3516" style="26" customWidth="1"/>
  </cols>
  <sheetData>
    <row r="1" ht="27.65" customHeight="1">
      <c r="A1" t="s" s="2">
        <v>45</v>
      </c>
      <c r="B1" s="2"/>
      <c r="C1" s="2"/>
      <c r="D1" s="2"/>
      <c r="E1" s="2"/>
    </row>
    <row r="2" ht="20.25" customHeight="1">
      <c r="A2" t="s" s="3">
        <v>46</v>
      </c>
      <c r="B2" t="s" s="3">
        <v>37</v>
      </c>
      <c r="C2" t="s" s="3">
        <v>47</v>
      </c>
      <c r="D2" t="s" s="3">
        <v>48</v>
      </c>
      <c r="E2" s="20"/>
    </row>
    <row r="3" ht="20.25" customHeight="1">
      <c r="A3" t="s" s="4">
        <v>6</v>
      </c>
      <c r="B3" s="21">
        <v>0</v>
      </c>
      <c r="C3" s="22" cm="1">
        <f t="array" ref="C3">10000+B3</f>
        <v>10000</v>
      </c>
      <c r="D3" s="22">
        <v>0</v>
      </c>
      <c r="E3" s="23"/>
    </row>
    <row r="4" ht="20.05" customHeight="1">
      <c r="A4" t="s" s="7">
        <v>7</v>
      </c>
      <c r="B4" s="14">
        <v>0</v>
      </c>
      <c r="C4" s="15" cm="1">
        <f t="array" ref="C4">0+B4</f>
        <v>0</v>
      </c>
      <c r="D4" s="15">
        <v>0</v>
      </c>
      <c r="E4" s="13"/>
    </row>
    <row r="5" ht="20.05" customHeight="1">
      <c r="A5" t="s" s="7">
        <v>8</v>
      </c>
      <c r="B5" s="14">
        <v>0</v>
      </c>
      <c r="C5" s="15" cm="1">
        <f t="array" ref="C5">0+B5</f>
        <v>0</v>
      </c>
      <c r="D5" s="15">
        <v>0</v>
      </c>
      <c r="E5" s="13"/>
    </row>
    <row r="6" ht="20.05" customHeight="1">
      <c r="A6" t="s" s="7">
        <v>9</v>
      </c>
      <c r="B6" s="14">
        <v>0</v>
      </c>
      <c r="C6" s="15" cm="1">
        <f t="array" ref="C6">0+B6</f>
        <v>0</v>
      </c>
      <c r="D6" s="15">
        <v>0</v>
      </c>
      <c r="E6" s="13"/>
    </row>
    <row r="7" ht="20.05" customHeight="1">
      <c r="A7" t="s" s="7">
        <v>10</v>
      </c>
      <c r="B7" s="14">
        <v>50</v>
      </c>
      <c r="C7" s="15" cm="1">
        <f t="array" ref="C7">600+B7</f>
        <v>650</v>
      </c>
      <c r="D7" s="15">
        <v>0</v>
      </c>
      <c r="E7" s="13"/>
    </row>
    <row r="8" ht="20.05" customHeight="1">
      <c r="A8" t="s" s="7">
        <v>11</v>
      </c>
      <c r="B8" s="14">
        <v>0</v>
      </c>
      <c r="C8" s="15" cm="1">
        <f t="array" ref="C8">0+B8</f>
        <v>0</v>
      </c>
      <c r="D8" s="15">
        <v>0</v>
      </c>
      <c r="E8" s="13"/>
    </row>
    <row r="9" ht="20.05" customHeight="1">
      <c r="A9" t="s" s="7">
        <v>12</v>
      </c>
      <c r="B9" s="14">
        <v>0</v>
      </c>
      <c r="C9" s="15" cm="1">
        <f t="array" ref="C9">0+B9</f>
        <v>0</v>
      </c>
      <c r="D9" s="15">
        <v>0</v>
      </c>
      <c r="E9" s="13"/>
    </row>
    <row r="10" ht="20.05" customHeight="1">
      <c r="A10" t="s" s="7">
        <v>13</v>
      </c>
      <c r="B10" s="14">
        <v>0</v>
      </c>
      <c r="C10" s="15" cm="1">
        <f t="array" ref="C10">0+B10</f>
        <v>0</v>
      </c>
      <c r="D10" s="15">
        <v>0</v>
      </c>
      <c r="E10" s="13"/>
    </row>
    <row r="11" ht="20.05" customHeight="1">
      <c r="A11" t="s" s="7">
        <v>14</v>
      </c>
      <c r="B11" s="14">
        <v>0</v>
      </c>
      <c r="C11" s="15" cm="1">
        <f t="array" ref="C11">0+B11</f>
        <v>0</v>
      </c>
      <c r="D11" s="15">
        <v>0</v>
      </c>
      <c r="E11" s="13"/>
    </row>
    <row r="12" ht="20.05" customHeight="1">
      <c r="A12" t="s" s="7">
        <v>15</v>
      </c>
      <c r="B12" s="14">
        <v>0</v>
      </c>
      <c r="C12" s="15" cm="1">
        <f t="array" ref="C12">0+B12</f>
        <v>0</v>
      </c>
      <c r="D12" s="15">
        <v>0</v>
      </c>
      <c r="E12" s="13"/>
    </row>
    <row r="13" ht="20.05" customHeight="1">
      <c r="A13" t="s" s="7">
        <v>16</v>
      </c>
      <c r="B13" s="14">
        <v>8</v>
      </c>
      <c r="C13" s="15" cm="1">
        <f t="array" ref="C13">0+B13</f>
        <v>8</v>
      </c>
      <c r="D13" s="15">
        <v>0</v>
      </c>
      <c r="E13" s="13"/>
    </row>
    <row r="14" ht="20.05" customHeight="1">
      <c r="A14" t="s" s="7">
        <v>17</v>
      </c>
      <c r="B14" s="14">
        <v>8</v>
      </c>
      <c r="C14" s="15" cm="1">
        <f t="array" ref="C14">0+B14</f>
        <v>8</v>
      </c>
      <c r="D14" s="15">
        <v>1</v>
      </c>
      <c r="E14" s="13"/>
    </row>
    <row r="15" ht="20.05" customHeight="1">
      <c r="A15" t="s" s="7">
        <v>18</v>
      </c>
      <c r="B15" s="14">
        <v>0</v>
      </c>
      <c r="C15" s="15" cm="1">
        <f t="array" ref="C15">0+B15</f>
        <v>0</v>
      </c>
      <c r="D15" s="15">
        <v>0</v>
      </c>
      <c r="E15" s="13"/>
    </row>
    <row r="16" ht="20.05" customHeight="1">
      <c r="A16" t="s" s="7">
        <v>19</v>
      </c>
      <c r="B16" s="14">
        <v>1</v>
      </c>
      <c r="C16" s="15" cm="1">
        <f t="array" ref="C16">0+B16</f>
        <v>1</v>
      </c>
      <c r="D16" s="15">
        <v>0</v>
      </c>
      <c r="E16" s="13"/>
    </row>
    <row r="17" ht="20.05" customHeight="1">
      <c r="A17" t="s" s="7">
        <v>20</v>
      </c>
      <c r="B17" s="14">
        <v>34</v>
      </c>
      <c r="C17" s="15" cm="1">
        <f t="array" ref="C17">0+B17</f>
        <v>34</v>
      </c>
      <c r="D17" s="15">
        <v>0</v>
      </c>
      <c r="E17" s="13"/>
    </row>
    <row r="18" ht="20.05" customHeight="1">
      <c r="A18" s="10"/>
      <c r="B18" s="11"/>
      <c r="C18" s="13"/>
      <c r="D18" s="13"/>
      <c r="E18" s="13"/>
    </row>
    <row r="19" ht="20.05" customHeight="1">
      <c r="A19" s="10"/>
      <c r="B19" s="11"/>
      <c r="C19" s="13"/>
      <c r="D19" s="13"/>
      <c r="E19" s="13"/>
    </row>
    <row r="20" ht="20.05" customHeight="1">
      <c r="A20" s="10"/>
      <c r="B20" s="11"/>
      <c r="C20" s="13"/>
      <c r="D20" s="13"/>
      <c r="E20" s="13"/>
    </row>
    <row r="21" ht="20.05" customHeight="1">
      <c r="A21" s="10"/>
      <c r="B21" s="11"/>
      <c r="C21" s="13"/>
      <c r="D21" s="13"/>
      <c r="E21" s="13"/>
    </row>
    <row r="22" ht="20.05" customHeight="1">
      <c r="A22" s="10"/>
      <c r="B22" s="11"/>
      <c r="C22" s="13"/>
      <c r="D22" s="13"/>
      <c r="E22" s="13"/>
    </row>
    <row r="23" ht="20.05" customHeight="1">
      <c r="A23" t="s" s="7">
        <v>21</v>
      </c>
      <c r="B23" s="24">
        <v>4</v>
      </c>
      <c r="C23" s="12">
        <v>4</v>
      </c>
      <c r="D23" s="12"/>
      <c r="E23" s="12"/>
    </row>
    <row r="24" ht="20.05" customHeight="1">
      <c r="A24" t="s" s="7">
        <v>23</v>
      </c>
      <c r="B24" s="17">
        <v>0</v>
      </c>
      <c r="C24" s="18">
        <v>17.99</v>
      </c>
      <c r="D24" s="18">
        <v>0</v>
      </c>
      <c r="E24" s="13"/>
    </row>
    <row r="25" ht="20.05" customHeight="1">
      <c r="A25" t="s" s="7">
        <v>24</v>
      </c>
      <c r="B25" s="24" cm="1">
        <f t="array" ref="B25">365/4</f>
        <v>91.25</v>
      </c>
      <c r="C25" s="12" cm="1">
        <f t="array" ref="C25">365/4</f>
        <v>91.25</v>
      </c>
      <c r="D25" s="12" cm="1">
        <f t="array" ref="D25">365/4</f>
        <v>91.25</v>
      </c>
      <c r="E25" s="12"/>
    </row>
    <row r="26" ht="20.05" customHeight="1">
      <c r="A26" t="s" s="7">
        <v>25</v>
      </c>
      <c r="B26" s="8" cm="1">
        <f t="array" ref="B26">SUM(B$3:B$18*'ValueTransfer'!$B$3:$B$18)</f>
        <v>6126.4</v>
      </c>
      <c r="C26" s="9" cm="1">
        <f t="array" ref="C26">SUM(C$3:C$18*'ValueTransfer'!$B$3:$B$18)</f>
        <v>16126.4</v>
      </c>
      <c r="D26" s="9" cm="1">
        <f t="array" ref="D26">SUM(D$3:D$18*'ValueTransfer'!$B$3:$B$18)</f>
        <v>70.40000000000001</v>
      </c>
      <c r="E26" s="13"/>
    </row>
    <row r="27" ht="20.05" customHeight="1">
      <c r="A27" t="s" s="7">
        <v>26</v>
      </c>
      <c r="B27" s="8" cm="1">
        <f t="array" ref="B27">SUM(B$3:B$18*'ValueTransfer'!$C$3:$C$18)</f>
        <v>220.8</v>
      </c>
      <c r="C27" s="9" cm="1">
        <f t="array" ref="C27">SUM(C$3:C$18*'ValueTransfer'!$C$3:$C$18)</f>
        <v>220.8</v>
      </c>
      <c r="D27" s="9" cm="1">
        <f t="array" ref="D27">SUM(D$3:D$18*'ValueTransfer'!$C$3:$C$18)</f>
        <v>13.8</v>
      </c>
      <c r="E27" s="13"/>
    </row>
    <row r="28" ht="20.05" customHeight="1">
      <c r="A28" t="s" s="7">
        <v>27</v>
      </c>
      <c r="B28" s="8" cm="1">
        <f t="array" ref="B28">SUM(B$3:B$18*'ValueTransfer'!$D$3:$D$18)</f>
        <v>139.2</v>
      </c>
      <c r="C28" s="9" cm="1">
        <f t="array" ref="C28">SUM(C$3:C$18*'ValueTransfer'!$D$3:$D$18)</f>
        <v>139.2</v>
      </c>
      <c r="D28" s="9" cm="1">
        <f t="array" ref="D28">SUM(D$3:D$18*'ValueTransfer'!$D$3:$D$18)</f>
        <v>8.699999999999999</v>
      </c>
      <c r="E28" s="13"/>
    </row>
    <row r="29" ht="20.05" customHeight="1">
      <c r="A29" t="s" s="7">
        <v>28</v>
      </c>
      <c r="B29" s="8" cm="1">
        <f t="array" ref="B29">SUM(B$3:B$18*'ValueTransfer'!$E$3:$E$18)</f>
        <v>3400</v>
      </c>
      <c r="C29" s="9" cm="1">
        <f t="array" ref="C29">SUM(C$3:C$18*'ValueTransfer'!$E$3:$E$18)</f>
        <v>3400</v>
      </c>
      <c r="D29" s="9" cm="1">
        <f t="array" ref="D29">SUM(D$3:D$18*'ValueTransfer'!$E$3:$E$18)</f>
        <v>0</v>
      </c>
      <c r="E29" s="13"/>
    </row>
    <row r="30" ht="20.05" customHeight="1">
      <c r="A30" s="10"/>
      <c r="B30" s="8"/>
      <c r="C30" s="9"/>
      <c r="D30" s="9"/>
      <c r="E30" s="13"/>
    </row>
    <row r="31" ht="20.05" customHeight="1">
      <c r="A31" t="s" s="7">
        <v>29</v>
      </c>
      <c r="B31" s="8" cm="1">
        <f t="array" ref="B31">SUM(B$3:B$18*'ValueTransfer'!$B$3:$B$18)/B$25</f>
        <v>67.13863013698629</v>
      </c>
      <c r="C31" s="9" cm="1">
        <f t="array" ref="C31">SUM(C$3:C$18*'ValueTransfer'!$B$3:$B$18)/C$25</f>
        <v>176.727671232877</v>
      </c>
      <c r="D31" s="9" cm="1">
        <f t="array" ref="D31">SUM(D$3:D$18*'ValueTransfer'!$B$3:$B$18)/D$25</f>
        <v>0.771506849315068</v>
      </c>
      <c r="E31" s="13"/>
    </row>
    <row r="32" ht="20.05" customHeight="1">
      <c r="A32" t="s" s="7">
        <v>30</v>
      </c>
      <c r="B32" s="8" cm="1">
        <f t="array" ref="B32">SUM(B$3:B$18*'ValueTransfer'!$C$3:$C$18)/B$25</f>
        <v>2.41972602739726</v>
      </c>
      <c r="C32" s="9" cm="1">
        <f t="array" ref="C32">SUM(C$3:C$18*'ValueTransfer'!$C$3:$C$18)/C$25</f>
        <v>2.41972602739726</v>
      </c>
      <c r="D32" s="9" cm="1">
        <f t="array" ref="D32">SUM(D$3:D$18*'ValueTransfer'!$C$3:$C$18)/D$25</f>
        <v>0.151232876712329</v>
      </c>
      <c r="E32" s="13"/>
    </row>
    <row r="33" ht="20.05" customHeight="1">
      <c r="A33" t="s" s="7">
        <v>31</v>
      </c>
      <c r="B33" s="8" cm="1">
        <f t="array" ref="B33">SUM(B$3:B$18*'ValueTransfer'!$D$3:$D$18)/B$25</f>
        <v>1.52547945205479</v>
      </c>
      <c r="C33" s="9" cm="1">
        <f t="array" ref="C33">SUM(C$3:C$18*'ValueTransfer'!$D$3:$D$18)/C$25</f>
        <v>1.52547945205479</v>
      </c>
      <c r="D33" s="9" cm="1">
        <f t="array" ref="D33">SUM(D$3:D$18*'ValueTransfer'!$D$3:$D$18)/D$25</f>
        <v>0.0953424657534247</v>
      </c>
      <c r="E33" s="13"/>
    </row>
    <row r="34" ht="20.05" customHeight="1">
      <c r="A34" t="s" s="7">
        <v>32</v>
      </c>
      <c r="B34" s="8" cm="1">
        <f t="array" ref="B34">SUM(B$3:B$18*'ValueTransfer'!$E$3:$E$18)/B$25</f>
        <v>37.2602739726027</v>
      </c>
      <c r="C34" s="9" cm="1">
        <f t="array" ref="C34">SUM(C$3:C$18*'ValueTransfer'!$E$3:$E$18)/C$25</f>
        <v>37.2602739726027</v>
      </c>
      <c r="D34" s="9" cm="1">
        <f t="array" ref="D34">SUM(D$3:D$18*'ValueTransfer'!$E$3:$E$18)/D$25</f>
        <v>0</v>
      </c>
      <c r="E34" s="13"/>
    </row>
    <row r="35" ht="20.05" customHeight="1">
      <c r="A35" s="10"/>
      <c r="B35" s="8"/>
      <c r="C35" s="9"/>
      <c r="D35" s="9"/>
      <c r="E35" s="13"/>
    </row>
    <row r="36" ht="32.05" customHeight="1">
      <c r="A36" t="s" s="7">
        <v>33</v>
      </c>
      <c r="B36" t="s" s="25">
        <v>43</v>
      </c>
      <c r="C36" t="s" s="16">
        <v>43</v>
      </c>
      <c r="D36" t="s" s="16">
        <v>44</v>
      </c>
      <c r="E36" s="13"/>
    </row>
    <row r="37" ht="20.05" customHeight="1">
      <c r="A37" s="10"/>
      <c r="B37" s="8"/>
      <c r="C37" s="9"/>
      <c r="D37" s="9"/>
      <c r="E37" s="13"/>
    </row>
    <row r="38" ht="20.05" customHeight="1">
      <c r="A38" s="10"/>
      <c r="B38" s="8"/>
      <c r="C38" s="9"/>
      <c r="D38" s="9"/>
      <c r="E38" s="13"/>
    </row>
    <row r="39" ht="20.05" customHeight="1">
      <c r="A39" s="10"/>
      <c r="B39" s="8"/>
      <c r="C39" s="9"/>
      <c r="D39" s="9"/>
      <c r="E39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27" customWidth="1"/>
    <col min="2" max="2" width="16.3516" style="27" customWidth="1"/>
    <col min="3" max="3" width="16.6719" style="27" customWidth="1"/>
    <col min="4" max="5" width="14.8516" style="27" customWidth="1"/>
    <col min="6" max="9" width="16.3516" style="27" customWidth="1"/>
    <col min="10" max="16384" width="16.3516" style="27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32.25" customHeight="1">
      <c r="A2" t="s" s="3">
        <v>1</v>
      </c>
      <c r="B2" t="s" s="3">
        <v>49</v>
      </c>
      <c r="C2" t="s" s="3">
        <v>50</v>
      </c>
      <c r="D2" t="s" s="3">
        <v>51</v>
      </c>
      <c r="E2" t="s" s="3">
        <v>52</v>
      </c>
      <c r="F2" t="s" s="3">
        <v>53</v>
      </c>
      <c r="G2" t="s" s="3">
        <v>54</v>
      </c>
      <c r="H2" t="s" s="3">
        <v>55</v>
      </c>
      <c r="I2" t="s" s="3">
        <v>56</v>
      </c>
    </row>
    <row r="3" ht="20.25" customHeight="1">
      <c r="A3" t="s" s="4">
        <v>6</v>
      </c>
      <c r="B3" s="5">
        <v>510</v>
      </c>
      <c r="C3" s="6">
        <v>1358.72</v>
      </c>
      <c r="D3" s="6"/>
      <c r="E3" s="6">
        <v>2831.84</v>
      </c>
      <c r="F3" s="6">
        <v>1200</v>
      </c>
      <c r="G3" s="6">
        <v>0</v>
      </c>
      <c r="H3" s="6">
        <v>0</v>
      </c>
      <c r="I3" s="6">
        <v>0</v>
      </c>
    </row>
    <row r="4" ht="20.05" customHeight="1">
      <c r="A4" t="s" s="7">
        <v>7</v>
      </c>
      <c r="B4" s="8">
        <v>213</v>
      </c>
      <c r="C4" s="9">
        <v>256</v>
      </c>
      <c r="D4" s="9"/>
      <c r="E4" s="9">
        <v>1490.72</v>
      </c>
      <c r="F4" s="9">
        <v>0</v>
      </c>
      <c r="G4" s="9">
        <v>1200</v>
      </c>
      <c r="H4" s="9">
        <v>0</v>
      </c>
      <c r="I4" s="9">
        <v>0</v>
      </c>
    </row>
    <row r="5" ht="20.05" customHeight="1">
      <c r="A5" t="s" s="7">
        <v>8</v>
      </c>
      <c r="B5" s="8">
        <v>0</v>
      </c>
      <c r="C5" s="9">
        <v>208</v>
      </c>
      <c r="D5" s="9"/>
      <c r="E5" s="9">
        <v>352</v>
      </c>
      <c r="F5" s="9">
        <v>0</v>
      </c>
      <c r="G5" s="9">
        <v>0</v>
      </c>
      <c r="H5" s="9">
        <v>0</v>
      </c>
      <c r="I5" s="9">
        <v>0</v>
      </c>
    </row>
    <row r="6" ht="20.05" customHeight="1">
      <c r="A6" t="s" s="7">
        <v>9</v>
      </c>
      <c r="B6" s="8">
        <v>106</v>
      </c>
      <c r="C6" s="9">
        <v>238.08</v>
      </c>
      <c r="D6" s="9"/>
      <c r="E6" s="9">
        <v>0</v>
      </c>
      <c r="F6" s="9">
        <v>0</v>
      </c>
      <c r="G6" s="9">
        <v>0</v>
      </c>
      <c r="H6" s="9">
        <v>0</v>
      </c>
      <c r="I6" s="9">
        <v>0</v>
      </c>
    </row>
    <row r="7" ht="20.05" customHeight="1">
      <c r="A7" t="s" s="7">
        <v>10</v>
      </c>
      <c r="B7" s="8">
        <v>0</v>
      </c>
      <c r="C7" s="9">
        <v>0</v>
      </c>
      <c r="D7" s="9"/>
      <c r="E7" s="9">
        <v>0</v>
      </c>
      <c r="F7" s="9">
        <v>0</v>
      </c>
      <c r="G7" s="9">
        <v>0</v>
      </c>
      <c r="H7" s="9">
        <v>0</v>
      </c>
      <c r="I7" s="9">
        <v>0</v>
      </c>
    </row>
    <row r="8" ht="20.05" customHeight="1">
      <c r="A8" t="s" s="7">
        <v>11</v>
      </c>
      <c r="B8" s="8">
        <v>0</v>
      </c>
      <c r="C8" s="9">
        <v>0</v>
      </c>
      <c r="D8" s="9"/>
      <c r="E8" s="9">
        <v>0</v>
      </c>
      <c r="F8" s="9">
        <v>0</v>
      </c>
      <c r="G8" s="9">
        <v>0</v>
      </c>
      <c r="H8" s="9">
        <v>0</v>
      </c>
      <c r="I8" s="9">
        <v>0</v>
      </c>
    </row>
    <row r="9" ht="20.05" customHeight="1">
      <c r="A9" t="s" s="7">
        <v>12</v>
      </c>
      <c r="B9" s="8">
        <v>0</v>
      </c>
      <c r="C9" s="9">
        <v>0</v>
      </c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</row>
    <row r="10" ht="20.05" customHeight="1">
      <c r="A10" t="s" s="7">
        <v>57</v>
      </c>
      <c r="B10" s="8">
        <v>0</v>
      </c>
      <c r="C10" s="9">
        <v>0</v>
      </c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ht="20.05" customHeight="1">
      <c r="A11" t="s" s="7">
        <v>14</v>
      </c>
      <c r="B11" s="8">
        <v>20</v>
      </c>
      <c r="C11" s="9">
        <v>0</v>
      </c>
      <c r="D11" s="9"/>
      <c r="E11" s="9">
        <v>0</v>
      </c>
      <c r="F11" s="9">
        <v>0</v>
      </c>
      <c r="G11" s="9">
        <v>0</v>
      </c>
      <c r="H11" s="9">
        <v>9</v>
      </c>
      <c r="I11" s="9">
        <v>0</v>
      </c>
    </row>
    <row r="12" ht="20.05" customHeight="1">
      <c r="A12" t="s" s="7">
        <v>15</v>
      </c>
      <c r="B12" s="8">
        <v>0</v>
      </c>
      <c r="C12" s="9">
        <v>0</v>
      </c>
      <c r="D12" s="9"/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ht="20.05" customHeight="1">
      <c r="A13" t="s" s="7">
        <v>16</v>
      </c>
      <c r="B13" s="8">
        <v>0</v>
      </c>
      <c r="C13" s="9">
        <v>0</v>
      </c>
      <c r="D13" s="9"/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 ht="20.05" customHeight="1">
      <c r="A14" t="s" s="7">
        <v>17</v>
      </c>
      <c r="B14" s="8">
        <v>0</v>
      </c>
      <c r="C14" s="9">
        <v>0</v>
      </c>
      <c r="D14" s="9"/>
      <c r="E14" s="9">
        <v>0</v>
      </c>
      <c r="F14" s="9">
        <v>0</v>
      </c>
      <c r="G14" s="9">
        <v>0</v>
      </c>
      <c r="H14" s="9">
        <v>0</v>
      </c>
      <c r="I14" s="9">
        <v>0</v>
      </c>
    </row>
    <row r="15" ht="20.05" customHeight="1">
      <c r="A15" t="s" s="7">
        <v>18</v>
      </c>
      <c r="B15" s="8">
        <v>0</v>
      </c>
      <c r="C15" s="9">
        <v>0</v>
      </c>
      <c r="D15" s="9"/>
      <c r="E15" s="9">
        <v>0</v>
      </c>
      <c r="F15" s="9">
        <v>0</v>
      </c>
      <c r="G15" s="9">
        <v>0</v>
      </c>
      <c r="H15" s="9">
        <v>0</v>
      </c>
      <c r="I15" s="9">
        <v>4</v>
      </c>
    </row>
    <row r="16" ht="20.05" customHeight="1">
      <c r="A16" t="s" s="7">
        <v>19</v>
      </c>
      <c r="B16" s="8">
        <v>0</v>
      </c>
      <c r="C16" s="9">
        <v>0</v>
      </c>
      <c r="D16" s="9"/>
      <c r="E16" s="9">
        <v>0</v>
      </c>
      <c r="F16" s="9">
        <v>0</v>
      </c>
      <c r="G16" s="9">
        <v>0</v>
      </c>
      <c r="H16" s="9">
        <v>0</v>
      </c>
      <c r="I16" s="9">
        <v>0</v>
      </c>
    </row>
    <row r="17" ht="20.05" customHeight="1">
      <c r="A17" t="s" s="7">
        <v>20</v>
      </c>
      <c r="B17" s="8">
        <v>0</v>
      </c>
      <c r="C17" s="9">
        <v>0</v>
      </c>
      <c r="D17" s="9"/>
      <c r="E17" s="9">
        <v>0</v>
      </c>
      <c r="F17" s="9">
        <v>0</v>
      </c>
      <c r="G17" s="9">
        <v>0</v>
      </c>
      <c r="H17" s="9">
        <v>0</v>
      </c>
      <c r="I17" s="9">
        <v>0</v>
      </c>
    </row>
    <row r="18" ht="20.05" customHeight="1">
      <c r="A18" s="10"/>
      <c r="B18" s="11"/>
      <c r="C18" s="12"/>
      <c r="D18" s="12"/>
      <c r="E18" s="12"/>
      <c r="F18" s="12"/>
      <c r="G18" s="12"/>
      <c r="H18" s="12"/>
      <c r="I18" s="12"/>
    </row>
    <row r="19" ht="20.05" customHeight="1">
      <c r="A19" s="10"/>
      <c r="B19" s="11"/>
      <c r="C19" s="13"/>
      <c r="D19" s="13"/>
      <c r="E19" s="13"/>
      <c r="F19" s="13"/>
      <c r="G19" s="13"/>
      <c r="H19" s="13"/>
      <c r="I19" s="13"/>
    </row>
    <row r="20" ht="20.05" customHeight="1">
      <c r="A20" s="10"/>
      <c r="B20" s="11"/>
      <c r="C20" s="13"/>
      <c r="D20" s="13"/>
      <c r="E20" s="13"/>
      <c r="F20" s="13"/>
      <c r="G20" s="13"/>
      <c r="H20" s="13"/>
      <c r="I20" s="13"/>
    </row>
    <row r="21" ht="20.05" customHeight="1">
      <c r="A21" s="10"/>
      <c r="B21" s="11"/>
      <c r="C21" s="13"/>
      <c r="D21" s="13"/>
      <c r="E21" s="13"/>
      <c r="F21" s="13"/>
      <c r="G21" s="13"/>
      <c r="H21" s="13"/>
      <c r="I21" s="13"/>
    </row>
    <row r="22" ht="20.05" customHeight="1">
      <c r="A22" s="10"/>
      <c r="B22" s="11"/>
      <c r="C22" s="13"/>
      <c r="D22" s="13"/>
      <c r="E22" s="13"/>
      <c r="F22" s="13"/>
      <c r="G22" s="13"/>
      <c r="H22" s="13"/>
      <c r="I22" s="13"/>
    </row>
    <row r="23" ht="20.05" customHeight="1">
      <c r="A23" t="s" s="7">
        <v>21</v>
      </c>
      <c r="B23" s="14">
        <v>12</v>
      </c>
      <c r="C23" s="15">
        <v>4</v>
      </c>
      <c r="D23" s="15">
        <v>2</v>
      </c>
      <c r="E23" s="15">
        <v>1</v>
      </c>
      <c r="F23" s="15">
        <v>10</v>
      </c>
      <c r="G23" s="15">
        <v>10</v>
      </c>
      <c r="H23" s="15">
        <v>10</v>
      </c>
      <c r="I23" s="15">
        <v>5</v>
      </c>
    </row>
    <row r="24" ht="20.05" customHeight="1">
      <c r="A24" t="s" s="7">
        <v>23</v>
      </c>
      <c r="B24" s="17">
        <v>0</v>
      </c>
      <c r="C24" s="18"/>
      <c r="D24" s="18"/>
      <c r="E24" s="18"/>
      <c r="F24" s="18"/>
      <c r="G24" s="18"/>
      <c r="H24" s="18"/>
      <c r="I24" s="18"/>
    </row>
    <row r="25" ht="20.05" customHeight="1">
      <c r="A25" t="s" s="7">
        <v>24</v>
      </c>
      <c r="B25" s="24" cm="1">
        <f t="array" ref="B25">365/12</f>
        <v>30.4166666666667</v>
      </c>
      <c r="C25" s="13"/>
      <c r="D25" s="13"/>
      <c r="E25" s="13"/>
      <c r="F25" s="13"/>
      <c r="G25" s="13"/>
      <c r="H25" s="13"/>
      <c r="I25" s="13"/>
    </row>
    <row r="26" ht="20.05" customHeight="1">
      <c r="A26" t="s" s="7">
        <v>25</v>
      </c>
      <c r="B26" s="8" cm="1">
        <f t="array" ref="B26">SUM(B$3:B$18*'ValueTransfer'!$B$3:$B$18)</f>
        <v>1918</v>
      </c>
      <c r="C26" s="9" cm="1">
        <f t="array" ref="C26">SUM(C$3:C$18*'ValueTransfer'!$B$3:$B$18)</f>
        <v>1358.72</v>
      </c>
      <c r="D26" s="9" cm="1">
        <f t="array" ref="D26">SUM(D$3:D$18*'ValueTransfer'!$B$3:$B$18)</f>
        <v>0</v>
      </c>
      <c r="E26" s="9" cm="1">
        <f t="array" ref="E26">SUM(E$3:E$18*'ValueTransfer'!$B$3:$B$18)</f>
        <v>2831.84</v>
      </c>
      <c r="F26" s="9" cm="1">
        <f t="array" ref="F26">SUM(F$3:F$18*'ValueTransfer'!$B$3:$B$18)</f>
        <v>1200</v>
      </c>
      <c r="G26" s="9" cm="1">
        <f t="array" ref="G26">SUM(G$3:G$18*'ValueTransfer'!$B$3:$B$18)</f>
        <v>0</v>
      </c>
      <c r="H26" s="9" cm="1">
        <f t="array" ref="H26">SUM(H$3:H$18*'ValueTransfer'!$B$3:$B$18)</f>
        <v>633.6</v>
      </c>
      <c r="I26" s="9" cm="1">
        <f t="array" ref="I26">SUM(I$3:I$18*'ValueTransfer'!$B$3:$B$18)</f>
        <v>1296.8</v>
      </c>
    </row>
    <row r="27" ht="20.05" customHeight="1">
      <c r="A27" t="s" s="7">
        <v>26</v>
      </c>
      <c r="B27" s="8" cm="1">
        <f t="array" ref="B27">SUM(B$3:B$18*'ValueTransfer'!$C$3:$C$18)</f>
        <v>489</v>
      </c>
      <c r="C27" s="9" cm="1">
        <f t="array" ref="C27">SUM(C$3:C$18*'ValueTransfer'!$C$3:$C$18)</f>
        <v>256</v>
      </c>
      <c r="D27" s="9" cm="1">
        <f t="array" ref="D27">SUM(D$3:D$18*'ValueTransfer'!$C$3:$C$18)</f>
        <v>0</v>
      </c>
      <c r="E27" s="9" cm="1">
        <f t="array" ref="E27">SUM(E$3:E$18*'ValueTransfer'!$C$3:$C$18)</f>
        <v>1490.72</v>
      </c>
      <c r="F27" s="9" cm="1">
        <f t="array" ref="F27">SUM(F$3:F$18*'ValueTransfer'!$C$3:$C$18)</f>
        <v>0</v>
      </c>
      <c r="G27" s="9" cm="1">
        <f t="array" ref="G27">SUM(G$3:G$18*'ValueTransfer'!$C$3:$C$18)</f>
        <v>1200</v>
      </c>
      <c r="H27" s="9" cm="1">
        <f t="array" ref="H27">SUM(H$3:H$18*'ValueTransfer'!$C$3:$C$18)</f>
        <v>124.2</v>
      </c>
      <c r="I27" s="9" cm="1">
        <f t="array" ref="I27">SUM(I$3:I$18*'ValueTransfer'!$C$3:$C$18)</f>
        <v>236.8</v>
      </c>
    </row>
    <row r="28" ht="20.05" customHeight="1">
      <c r="A28" t="s" s="7">
        <v>27</v>
      </c>
      <c r="B28" s="8" cm="1">
        <f t="array" ref="B28">SUM(B$3:B$18*'ValueTransfer'!$D$3:$D$18)</f>
        <v>174</v>
      </c>
      <c r="C28" s="9" cm="1">
        <f t="array" ref="C28">SUM(C$3:C$18*'ValueTransfer'!$D$3:$D$18)</f>
        <v>208</v>
      </c>
      <c r="D28" s="9" cm="1">
        <f t="array" ref="D28">SUM(D$3:D$18*'ValueTransfer'!$D$3:$D$18)</f>
        <v>0</v>
      </c>
      <c r="E28" s="9" cm="1">
        <f t="array" ref="E28">SUM(E$3:E$18*'ValueTransfer'!$D$3:$D$18)</f>
        <v>352</v>
      </c>
      <c r="F28" s="9" cm="1">
        <f t="array" ref="F28">SUM(F$3:F$18*'ValueTransfer'!$D$3:$D$18)</f>
        <v>0</v>
      </c>
      <c r="G28" s="9" cm="1">
        <f t="array" ref="G28">SUM(G$3:G$18*'ValueTransfer'!$D$3:$D$18)</f>
        <v>0</v>
      </c>
      <c r="H28" s="9" cm="1">
        <f t="array" ref="H28">SUM(H$3:H$18*'ValueTransfer'!$D$3:$D$18)</f>
        <v>78.3</v>
      </c>
      <c r="I28" s="9" cm="1">
        <f t="array" ref="I28">SUM(I$3:I$18*'ValueTransfer'!$D$3:$D$18)</f>
        <v>212</v>
      </c>
    </row>
    <row r="29" ht="20.05" customHeight="1">
      <c r="A29" t="s" s="7">
        <v>28</v>
      </c>
      <c r="B29" s="8" cm="1">
        <f t="array" ref="B29">SUM(B$3:B$18*'ValueTransfer'!$E$3:$E$18)</f>
        <v>106</v>
      </c>
      <c r="C29" s="9" cm="1">
        <f t="array" ref="C29">SUM(C$3:C$18*'ValueTransfer'!$E$3:$E$18)</f>
        <v>238.08</v>
      </c>
      <c r="D29" s="9" cm="1">
        <f t="array" ref="D29">SUM(D$3:D$18*'ValueTransfer'!$E$3:$E$18)</f>
        <v>0</v>
      </c>
      <c r="E29" s="9" cm="1">
        <f t="array" ref="E29">SUM(E$3:E$18*'ValueTransfer'!$E$3:$E$18)</f>
        <v>0</v>
      </c>
      <c r="F29" s="9" cm="1">
        <f t="array" ref="F29">SUM(F$3:F$18*'ValueTransfer'!$E$3:$E$18)</f>
        <v>0</v>
      </c>
      <c r="G29" s="9" cm="1">
        <f t="array" ref="G29">SUM(G$3:G$18*'ValueTransfer'!$E$3:$E$18)</f>
        <v>0</v>
      </c>
      <c r="H29" s="9" cm="1">
        <f t="array" ref="H29">SUM(H$3:H$18*'ValueTransfer'!$E$3:$E$18)</f>
        <v>0</v>
      </c>
      <c r="I29" s="9" cm="1">
        <f t="array" ref="I29">SUM(I$3:I$18*'ValueTransfer'!$E$3:$E$18)</f>
        <v>0</v>
      </c>
    </row>
    <row r="30" ht="20.05" customHeight="1">
      <c r="A30" s="10"/>
      <c r="B30" s="8"/>
      <c r="C30" s="9"/>
      <c r="D30" s="9"/>
      <c r="E30" s="9"/>
      <c r="F30" s="9"/>
      <c r="G30" s="9"/>
      <c r="H30" s="9"/>
      <c r="I30" s="9"/>
    </row>
    <row r="31" ht="20.05" customHeight="1">
      <c r="A31" t="s" s="7">
        <v>29</v>
      </c>
      <c r="B31" s="8" cm="1">
        <f t="array" ref="B31">SUM(B$3:B$18*'ValueTransfer'!$B$3:$B$18)/B$25</f>
        <v>63.0575342465753</v>
      </c>
      <c r="C31" s="9" cm="1">
        <f t="array" ref="C31">SUM(C$3:C$18*'ValueTransfer'!$B$3:$B$18)*C$23/365</f>
        <v>14.8900821917808</v>
      </c>
      <c r="D31" s="9" cm="1">
        <f t="array" ref="D31">SUM(D$3:D$18*'ValueTransfer'!$B$3:$B$18)*D$23/365</f>
        <v>0</v>
      </c>
      <c r="E31" s="9" cm="1">
        <f t="array" ref="E31">SUM(E$3:E$18*'ValueTransfer'!$B$3:$B$18)*E$23/365</f>
        <v>7.75846575342466</v>
      </c>
      <c r="F31" s="9" cm="1">
        <f t="array" ref="F31">SUM(F$3:F$18*'ValueTransfer'!$B$3:$B$18)*F$23/365</f>
        <v>32.8767123287671</v>
      </c>
      <c r="G31" s="9" cm="1">
        <f t="array" ref="G31">SUM(G$3:G$18*'ValueTransfer'!$B$3:$B$18)*G$23/365</f>
        <v>0</v>
      </c>
      <c r="H31" s="9" cm="1">
        <f t="array" ref="H31">SUM(H$3:H$18*'ValueTransfer'!$B$3:$B$18)*H$23/365</f>
        <v>17.358904109589</v>
      </c>
      <c r="I31" s="9" cm="1">
        <f t="array" ref="I31">SUM(I$3:I$18*'ValueTransfer'!$B$3:$B$18)*I$23/365</f>
        <v>17.7643835616438</v>
      </c>
    </row>
    <row r="32" ht="20.05" customHeight="1">
      <c r="A32" t="s" s="7">
        <v>30</v>
      </c>
      <c r="B32" s="8" cm="1">
        <f t="array" ref="B32">SUM(B$3:B$18*'ValueTransfer'!$C$3:$C$18)/B$25</f>
        <v>16.0767123287671</v>
      </c>
      <c r="C32" s="9" cm="1">
        <f t="array" ref="C32">SUM(C$3:C$18*'ValueTransfer'!$C$3:$C$18)*C23/365</f>
        <v>2.80547945205479</v>
      </c>
      <c r="D32" s="9" cm="1">
        <f t="array" ref="D32">SUM(D$3:D$18*'ValueTransfer'!$C$3:$C$18)*D23/365</f>
        <v>0</v>
      </c>
      <c r="E32" s="9" cm="1">
        <f t="array" ref="E32">SUM(E$3:E$18*'ValueTransfer'!$C$3:$C$18)*E23/365</f>
        <v>4.08416438356164</v>
      </c>
      <c r="F32" s="9" cm="1">
        <f t="array" ref="F32">SUM(F$3:F$18*'ValueTransfer'!$C$3:$C$18)*F23/365</f>
        <v>0</v>
      </c>
      <c r="G32" s="9" cm="1">
        <f t="array" ref="G32">SUM(G$3:G$18*'ValueTransfer'!$C$3:$C$18)*G23/365</f>
        <v>32.8767123287671</v>
      </c>
      <c r="H32" s="9" cm="1">
        <f t="array" ref="H32">SUM(H$3:H$18*'ValueTransfer'!$C$3:$C$18)*H23/365</f>
        <v>3.4027397260274</v>
      </c>
      <c r="I32" s="9" cm="1">
        <f t="array" ref="I32">SUM(I$3:I$18*'ValueTransfer'!$C$3:$C$18)*I23/365</f>
        <v>3.24383561643836</v>
      </c>
    </row>
    <row r="33" ht="20.05" customHeight="1">
      <c r="A33" t="s" s="7">
        <v>31</v>
      </c>
      <c r="B33" s="8" cm="1">
        <f t="array" ref="B33">SUM(B$3:B$18*'ValueTransfer'!$D$3:$D$18)/B$25</f>
        <v>5.72054794520547</v>
      </c>
      <c r="C33" s="9" cm="1">
        <f t="array" ref="C33">SUM(C$3:C$18*'ValueTransfer'!$D$3:$D$18)*C23/365</f>
        <v>2.27945205479452</v>
      </c>
      <c r="D33" s="9" cm="1">
        <f t="array" ref="D33">SUM(D$3:D$18*'ValueTransfer'!$D$3:$D$18)*D23/365</f>
        <v>0</v>
      </c>
      <c r="E33" s="9" cm="1">
        <f t="array" ref="E33">SUM(E$3:E$18*'ValueTransfer'!$D$3:$D$18)*E23/365</f>
        <v>0.964383561643836</v>
      </c>
      <c r="F33" s="9" cm="1">
        <f t="array" ref="F33">SUM(F$3:F$18*'ValueTransfer'!$D$3:$D$18)*F23/365</f>
        <v>0</v>
      </c>
      <c r="G33" s="9" cm="1">
        <f t="array" ref="G33">SUM(G$3:G$18*'ValueTransfer'!$D$3:$D$18)*G23/365</f>
        <v>0</v>
      </c>
      <c r="H33" s="9" cm="1">
        <f t="array" ref="H33">SUM(H$3:H$18*'ValueTransfer'!$D$3:$D$18)*H23/365</f>
        <v>2.14520547945205</v>
      </c>
      <c r="I33" s="9" cm="1">
        <f t="array" ref="I33">SUM(I$3:I$18*'ValueTransfer'!$D$3:$D$18)*I23/365</f>
        <v>2.9041095890411</v>
      </c>
    </row>
    <row r="34" ht="20.05" customHeight="1">
      <c r="A34" t="s" s="7">
        <v>32</v>
      </c>
      <c r="B34" s="8" cm="1">
        <f t="array" ref="B34">SUM(B$3:B$18*'ValueTransfer'!$E$3:$E$18)/B$25</f>
        <v>3.48493150684931</v>
      </c>
      <c r="C34" s="9" cm="1">
        <f t="array" ref="C34">SUM(C$3:C$18*'ValueTransfer'!$E$3:$E$18)*C23/365</f>
        <v>2.60909589041096</v>
      </c>
      <c r="D34" s="9" cm="1">
        <f t="array" ref="D34">SUM(D$3:D$18*'ValueTransfer'!$E$3:$E$18)*D23/365</f>
        <v>0</v>
      </c>
      <c r="E34" s="9" cm="1">
        <f t="array" ref="E34">SUM(E$3:E$18*'ValueTransfer'!$E$3:$E$18)*E23/365</f>
        <v>0</v>
      </c>
      <c r="F34" s="9" cm="1">
        <f t="array" ref="F34">SUM(F$3:F$18*'ValueTransfer'!$E$3:$E$18)*F23/365</f>
        <v>0</v>
      </c>
      <c r="G34" s="9" cm="1">
        <f t="array" ref="G34">SUM(G$3:G$18*'ValueTransfer'!$E$3:$E$18)*G23/365</f>
        <v>0</v>
      </c>
      <c r="H34" s="9" cm="1">
        <f t="array" ref="H34">SUM(H$3:H$18*'ValueTransfer'!$E$3:$E$18)*H23/365</f>
        <v>0</v>
      </c>
      <c r="I34" s="9" cm="1">
        <f t="array" ref="I34">SUM(I$3:I$18*'ValueTransfer'!$E$3:$E$18)*I23/365</f>
        <v>0</v>
      </c>
    </row>
    <row r="35" ht="20.05" customHeight="1">
      <c r="A35" s="10"/>
      <c r="B35" s="8"/>
      <c r="C35" s="13"/>
      <c r="D35" s="13"/>
      <c r="E35" s="13"/>
      <c r="F35" s="13"/>
      <c r="G35" s="13"/>
      <c r="H35" s="13"/>
      <c r="I35" s="13"/>
    </row>
    <row r="36" ht="92.05" customHeight="1">
      <c r="A36" t="s" s="7">
        <v>33</v>
      </c>
      <c r="B36" t="s" s="25">
        <v>58</v>
      </c>
      <c r="C36" t="s" s="16">
        <v>59</v>
      </c>
      <c r="D36" s="13"/>
      <c r="E36" s="13"/>
      <c r="F36" t="s" s="16">
        <v>60</v>
      </c>
      <c r="G36" s="13"/>
      <c r="H36" s="13"/>
      <c r="I36" s="13"/>
    </row>
  </sheetData>
  <mergeCells count="1">
    <mergeCell ref="A1:I1"/>
  </mergeCells>
  <hyperlinks>
    <hyperlink ref="B36" r:id="rId1" location="" tooltip="" display="https://brawlstars.fandom.com/wiki/Mega_Pig"/>
    <hyperlink ref="C36" r:id="rId2" location="" tooltip="" display="https://docs.google.com/document/d/1PbqTDjwGPuzl7F7BSsfYLgZKp2scx4zprCahzk_HGnY/edit?tab=t.0"/>
    <hyperlink ref="F36" r:id="rId3" location="" tooltip="" display="https://brawlstars.fandom.com/wiki/Rush_Events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G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" style="28" customWidth="1"/>
    <col min="2" max="2" width="17.6172" style="28" customWidth="1"/>
    <col min="3" max="7" width="16.3516" style="28" customWidth="1"/>
    <col min="8" max="16384" width="16.3516" style="28" customWidth="1"/>
  </cols>
  <sheetData>
    <row r="1" ht="27.65" customHeight="1">
      <c r="A1" t="s" s="2">
        <v>35</v>
      </c>
      <c r="B1" s="2"/>
      <c r="C1" s="2"/>
      <c r="D1" s="2"/>
      <c r="E1" s="2"/>
      <c r="F1" s="2"/>
      <c r="G1" s="2"/>
    </row>
    <row r="2" ht="20.25" customHeight="1">
      <c r="A2" t="s" s="3">
        <v>36</v>
      </c>
      <c r="B2" t="s" s="3">
        <v>61</v>
      </c>
      <c r="C2" s="20"/>
      <c r="D2" s="20"/>
      <c r="E2" s="20"/>
      <c r="F2" s="20"/>
      <c r="G2" s="20"/>
    </row>
    <row r="3" ht="20.25" customHeight="1">
      <c r="A3" t="s" s="4">
        <v>6</v>
      </c>
      <c r="B3" s="21">
        <v>0</v>
      </c>
      <c r="C3" s="22"/>
      <c r="D3" s="22"/>
      <c r="E3" s="23"/>
      <c r="F3" s="23"/>
      <c r="G3" s="23"/>
    </row>
    <row r="4" ht="20.05" customHeight="1">
      <c r="A4" t="s" s="7">
        <v>7</v>
      </c>
      <c r="B4" s="14">
        <v>0</v>
      </c>
      <c r="C4" s="15"/>
      <c r="D4" s="15"/>
      <c r="E4" s="13"/>
      <c r="F4" s="13"/>
      <c r="G4" s="13"/>
    </row>
    <row r="5" ht="20.05" customHeight="1">
      <c r="A5" t="s" s="7">
        <v>8</v>
      </c>
      <c r="B5" s="14">
        <v>0</v>
      </c>
      <c r="C5" s="15"/>
      <c r="D5" s="15"/>
      <c r="E5" s="13"/>
      <c r="F5" s="13"/>
      <c r="G5" s="13"/>
    </row>
    <row r="6" ht="20.05" customHeight="1">
      <c r="A6" t="s" s="7">
        <v>9</v>
      </c>
      <c r="B6" s="14">
        <v>0</v>
      </c>
      <c r="C6" s="15"/>
      <c r="D6" s="15"/>
      <c r="E6" s="13"/>
      <c r="F6" s="13"/>
      <c r="G6" s="13"/>
    </row>
    <row r="7" ht="20.05" customHeight="1">
      <c r="A7" t="s" s="7">
        <v>10</v>
      </c>
      <c r="B7" s="14">
        <v>0</v>
      </c>
      <c r="C7" s="13"/>
      <c r="D7" s="13"/>
      <c r="E7" s="13"/>
      <c r="F7" s="13"/>
      <c r="G7" s="13"/>
    </row>
    <row r="8" ht="20.05" customHeight="1">
      <c r="A8" t="s" s="7">
        <v>11</v>
      </c>
      <c r="B8" s="14">
        <v>0</v>
      </c>
      <c r="C8" s="13"/>
      <c r="D8" s="13"/>
      <c r="E8" s="13"/>
      <c r="F8" s="13"/>
      <c r="G8" s="13"/>
    </row>
    <row r="9" ht="20.05" customHeight="1">
      <c r="A9" t="s" s="7">
        <v>12</v>
      </c>
      <c r="B9" s="14">
        <v>0</v>
      </c>
      <c r="C9" s="13"/>
      <c r="D9" s="13"/>
      <c r="E9" s="13"/>
      <c r="F9" s="13"/>
      <c r="G9" s="13"/>
    </row>
    <row r="10" ht="20.05" customHeight="1">
      <c r="A10" t="s" s="7">
        <v>13</v>
      </c>
      <c r="B10" s="14">
        <v>0</v>
      </c>
      <c r="C10" s="13"/>
      <c r="D10" s="13"/>
      <c r="E10" s="13"/>
      <c r="F10" s="13"/>
      <c r="G10" s="13"/>
    </row>
    <row r="11" ht="20.05" customHeight="1">
      <c r="A11" t="s" s="7">
        <v>14</v>
      </c>
      <c r="B11" s="14">
        <v>10</v>
      </c>
      <c r="C11" s="13"/>
      <c r="D11" s="13"/>
      <c r="E11" s="13"/>
      <c r="F11" s="13"/>
      <c r="G11" s="13"/>
    </row>
    <row r="12" ht="20.05" customHeight="1">
      <c r="A12" t="s" s="7">
        <v>15</v>
      </c>
      <c r="B12" s="14">
        <v>0</v>
      </c>
      <c r="C12" s="13"/>
      <c r="D12" s="13"/>
      <c r="E12" s="13"/>
      <c r="F12" s="13"/>
      <c r="G12" s="13"/>
    </row>
    <row r="13" ht="20.05" customHeight="1">
      <c r="A13" t="s" s="7">
        <v>16</v>
      </c>
      <c r="B13" s="14">
        <v>0</v>
      </c>
      <c r="C13" s="13"/>
      <c r="D13" s="13"/>
      <c r="E13" s="13"/>
      <c r="F13" s="13"/>
      <c r="G13" s="13"/>
    </row>
    <row r="14" ht="20.05" customHeight="1">
      <c r="A14" t="s" s="7">
        <v>17</v>
      </c>
      <c r="B14" s="14">
        <v>0</v>
      </c>
      <c r="C14" s="13"/>
      <c r="D14" s="13"/>
      <c r="E14" s="13"/>
      <c r="F14" s="13"/>
      <c r="G14" s="13"/>
    </row>
    <row r="15" ht="20.05" customHeight="1">
      <c r="A15" t="s" s="7">
        <v>18</v>
      </c>
      <c r="B15" s="14">
        <v>5</v>
      </c>
      <c r="C15" s="13"/>
      <c r="D15" s="13"/>
      <c r="E15" s="13"/>
      <c r="F15" s="13"/>
      <c r="G15" s="13"/>
    </row>
    <row r="16" ht="20.05" customHeight="1">
      <c r="A16" t="s" s="7">
        <v>19</v>
      </c>
      <c r="B16" s="14">
        <v>0</v>
      </c>
      <c r="C16" s="13"/>
      <c r="D16" s="13"/>
      <c r="E16" s="13"/>
      <c r="F16" s="13"/>
      <c r="G16" s="13"/>
    </row>
    <row r="17" ht="20.05" customHeight="1">
      <c r="A17" t="s" s="7">
        <v>20</v>
      </c>
      <c r="B17" s="14">
        <v>0</v>
      </c>
      <c r="C17" s="13"/>
      <c r="D17" s="13"/>
      <c r="E17" s="13"/>
      <c r="F17" s="13"/>
      <c r="G17" s="13"/>
    </row>
    <row r="18" ht="20.05" customHeight="1">
      <c r="A18" s="10"/>
      <c r="B18" s="11"/>
      <c r="C18" s="13"/>
      <c r="D18" s="13"/>
      <c r="E18" s="13"/>
      <c r="F18" s="13"/>
      <c r="G18" s="13"/>
    </row>
    <row r="19" ht="20.05" customHeight="1">
      <c r="A19" s="10"/>
      <c r="B19" s="11"/>
      <c r="C19" s="13"/>
      <c r="D19" s="13"/>
      <c r="E19" s="13"/>
      <c r="F19" s="13"/>
      <c r="G19" s="13"/>
    </row>
    <row r="20" ht="20.05" customHeight="1">
      <c r="A20" s="10"/>
      <c r="B20" s="11"/>
      <c r="C20" s="13"/>
      <c r="D20" s="13"/>
      <c r="E20" s="13"/>
      <c r="F20" s="13"/>
      <c r="G20" s="13"/>
    </row>
    <row r="21" ht="20.05" customHeight="1">
      <c r="A21" s="10"/>
      <c r="B21" s="11"/>
      <c r="C21" s="13"/>
      <c r="D21" s="13"/>
      <c r="E21" s="13"/>
      <c r="F21" s="13"/>
      <c r="G21" s="13"/>
    </row>
    <row r="22" ht="20.05" customHeight="1">
      <c r="A22" s="10"/>
      <c r="B22" s="11"/>
      <c r="C22" s="13"/>
      <c r="D22" s="13"/>
      <c r="E22" s="13"/>
      <c r="F22" s="13"/>
      <c r="G22" s="13"/>
    </row>
    <row r="23" ht="20.05" customHeight="1">
      <c r="A23" t="s" s="7">
        <v>21</v>
      </c>
      <c r="B23" s="14">
        <v>12</v>
      </c>
      <c r="C23" s="13"/>
      <c r="D23" s="13"/>
      <c r="E23" s="13"/>
      <c r="F23" s="13"/>
      <c r="G23" s="13"/>
    </row>
    <row r="24" ht="20.05" customHeight="1">
      <c r="A24" t="s" s="7">
        <v>23</v>
      </c>
      <c r="B24" s="17">
        <v>0</v>
      </c>
      <c r="C24" s="18">
        <v>0</v>
      </c>
      <c r="D24" s="18">
        <v>0</v>
      </c>
      <c r="E24" s="18">
        <v>0</v>
      </c>
      <c r="F24" s="13"/>
      <c r="G24" s="13"/>
    </row>
    <row r="25" ht="20.05" customHeight="1">
      <c r="A25" t="s" s="7">
        <v>24</v>
      </c>
      <c r="B25" s="24" cm="1">
        <f t="array" ref="B25">365/12</f>
        <v>30.4166666666667</v>
      </c>
      <c r="C25" s="12" cm="1">
        <f t="array" ref="C25">365/12</f>
        <v>30.4166666666667</v>
      </c>
      <c r="D25" s="12" cm="1">
        <f t="array" ref="D25">365/12</f>
        <v>30.4166666666667</v>
      </c>
      <c r="E25" s="12" cm="1">
        <f t="array" ref="E25">365/12</f>
        <v>30.4166666666667</v>
      </c>
      <c r="F25" s="13"/>
      <c r="G25" s="13"/>
    </row>
    <row r="26" ht="20.05" customHeight="1">
      <c r="A26" t="s" s="7">
        <v>25</v>
      </c>
      <c r="B26" s="8" cm="1">
        <f t="array" ref="B26">SUM(B$3:B$18*'ValueTransfer'!$B$3:$B$18)</f>
        <v>2325</v>
      </c>
      <c r="C26" s="9" cm="1">
        <f t="array" ref="C26">SUM(C$3:C$18*'ValueTransfer'!$B$3:$B$18)</f>
        <v>0</v>
      </c>
      <c r="D26" s="9" cm="1">
        <f t="array" ref="D26">SUM(D$3:D$18*'ValueTransfer'!$B$3:$B$18)</f>
        <v>0</v>
      </c>
      <c r="E26" s="9" cm="1">
        <f t="array" ref="E26">SUM(E$3:E$18*'ValueTransfer'!$B$3:$B$18)</f>
        <v>0</v>
      </c>
      <c r="F26" s="13"/>
      <c r="G26" s="13"/>
    </row>
    <row r="27" ht="20.05" customHeight="1">
      <c r="A27" t="s" s="7">
        <v>26</v>
      </c>
      <c r="B27" s="8" cm="1">
        <f t="array" ref="B27">SUM(B$3:B$18*'ValueTransfer'!$C$3:$C$18)</f>
        <v>434</v>
      </c>
      <c r="C27" s="9" cm="1">
        <f t="array" ref="C27">SUM(C$3:C$18*'ValueTransfer'!$C$3:$C$18)</f>
        <v>0</v>
      </c>
      <c r="D27" s="9" cm="1">
        <f t="array" ref="D27">SUM(D$3:D$18*'ValueTransfer'!$C$3:$C$18)</f>
        <v>0</v>
      </c>
      <c r="E27" s="9" cm="1">
        <f t="array" ref="E27">SUM(E$3:E$18*'ValueTransfer'!$C$3:$C$18)</f>
        <v>0</v>
      </c>
      <c r="F27" s="13"/>
      <c r="G27" s="13"/>
    </row>
    <row r="28" ht="20.05" customHeight="1">
      <c r="A28" t="s" s="7">
        <v>27</v>
      </c>
      <c r="B28" s="8" cm="1">
        <f t="array" ref="B28">SUM(B$3:B$18*'ValueTransfer'!$D$3:$D$18)</f>
        <v>352</v>
      </c>
      <c r="C28" s="9" cm="1">
        <f t="array" ref="C28">SUM(C$3:C$18*'ValueTransfer'!$D$3:$D$18)</f>
        <v>0</v>
      </c>
      <c r="D28" s="9" cm="1">
        <f t="array" ref="D28">SUM(D$3:D$18*'ValueTransfer'!$D$3:$D$18)</f>
        <v>0</v>
      </c>
      <c r="E28" s="9" cm="1">
        <f t="array" ref="E28">SUM(E$3:E$18*'ValueTransfer'!$D$3:$D$18)</f>
        <v>0</v>
      </c>
      <c r="F28" s="13"/>
      <c r="G28" s="13"/>
    </row>
    <row r="29" ht="20.05" customHeight="1">
      <c r="A29" t="s" s="7">
        <v>28</v>
      </c>
      <c r="B29" s="8" cm="1">
        <f t="array" ref="B29">SUM(B$3:B$18*'ValueTransfer'!$E$3:$E$18)</f>
        <v>0</v>
      </c>
      <c r="C29" s="9" cm="1">
        <f t="array" ref="C29">SUM(C$3:C$18*'ValueTransfer'!$E$3:$E$18)</f>
        <v>0</v>
      </c>
      <c r="D29" s="9" cm="1">
        <f t="array" ref="D29">SUM(D$3:D$18*'ValueTransfer'!$E$3:$E$18)</f>
        <v>0</v>
      </c>
      <c r="E29" s="9" cm="1">
        <f t="array" ref="E29">SUM(E$3:E$18*'ValueTransfer'!$E$3:$E$18)</f>
        <v>0</v>
      </c>
      <c r="F29" s="13"/>
      <c r="G29" s="13"/>
    </row>
    <row r="30" ht="20.05" customHeight="1">
      <c r="A30" s="10"/>
      <c r="B30" s="8"/>
      <c r="C30" s="9"/>
      <c r="D30" s="9"/>
      <c r="E30" s="9"/>
      <c r="F30" s="13"/>
      <c r="G30" s="13"/>
    </row>
    <row r="31" ht="20.05" customHeight="1">
      <c r="A31" t="s" s="7">
        <v>29</v>
      </c>
      <c r="B31" s="8" cm="1">
        <f t="array" ref="B31">SUM(B$3:B$18*'ValueTransfer'!$B$3:$B$18)/B$25</f>
        <v>76.43835616438351</v>
      </c>
      <c r="C31" s="9" cm="1">
        <f t="array" ref="C31">SUM(C$3:C$18*'ValueTransfer'!$B$3:$B$18)/C$25</f>
        <v>0</v>
      </c>
      <c r="D31" s="9" cm="1">
        <f t="array" ref="D31">SUM(D$3:D$18*'ValueTransfer'!$B$3:$B$18)/D$25</f>
        <v>0</v>
      </c>
      <c r="E31" s="9" cm="1">
        <f t="array" ref="E31">SUM(E$3:E$18*'ValueTransfer'!$B$3:$B$18)/E$25</f>
        <v>0</v>
      </c>
      <c r="F31" s="13"/>
      <c r="G31" s="13"/>
    </row>
    <row r="32" ht="20.05" customHeight="1">
      <c r="A32" t="s" s="7">
        <v>30</v>
      </c>
      <c r="B32" s="8" cm="1">
        <f t="array" ref="B32">SUM(B$3:B$18*'ValueTransfer'!$C$3:$C$18)/B$25</f>
        <v>14.2684931506849</v>
      </c>
      <c r="C32" s="9" cm="1">
        <f t="array" ref="C32">SUM(C$3:C$18*'ValueTransfer'!$C$3:$C$18)/C$25</f>
        <v>0</v>
      </c>
      <c r="D32" s="9" cm="1">
        <f t="array" ref="D32">SUM(D$3:D$18*'ValueTransfer'!$C$3:$C$18)/D$25</f>
        <v>0</v>
      </c>
      <c r="E32" s="9" cm="1">
        <f t="array" ref="E32">SUM(E$3:E$18*'ValueTransfer'!$C$3:$C$18)/E$25</f>
        <v>0</v>
      </c>
      <c r="F32" s="13"/>
      <c r="G32" s="13"/>
    </row>
    <row r="33" ht="20.05" customHeight="1">
      <c r="A33" t="s" s="7">
        <v>31</v>
      </c>
      <c r="B33" s="8" cm="1">
        <f t="array" ref="B33">SUM(B$3:B$18*'ValueTransfer'!$D$3:$D$18)/B$25</f>
        <v>11.572602739726</v>
      </c>
      <c r="C33" s="9" cm="1">
        <f t="array" ref="C33">SUM(C$3:C$18*'ValueTransfer'!$D$3:$D$18)/C$25</f>
        <v>0</v>
      </c>
      <c r="D33" s="9" cm="1">
        <f t="array" ref="D33">SUM(D$3:D$18*'ValueTransfer'!$D$3:$D$18)/D$25</f>
        <v>0</v>
      </c>
      <c r="E33" s="9" cm="1">
        <f t="array" ref="E33">SUM(E$3:E$18*'ValueTransfer'!$D$3:$D$18)/E$25</f>
        <v>0</v>
      </c>
      <c r="F33" s="13"/>
      <c r="G33" s="13"/>
    </row>
    <row r="34" ht="20.05" customHeight="1">
      <c r="A34" t="s" s="7">
        <v>32</v>
      </c>
      <c r="B34" s="8" cm="1">
        <f t="array" ref="B34">SUM(B$3:B$18*'ValueTransfer'!$E$3:$E$18)/B$25</f>
        <v>0</v>
      </c>
      <c r="C34" s="9" cm="1">
        <f t="array" ref="C34">SUM(C$3:C$18*'ValueTransfer'!$E$3:$E$18)/C$25</f>
        <v>0</v>
      </c>
      <c r="D34" s="9" cm="1">
        <f t="array" ref="D34">SUM(D$3:D$18*'ValueTransfer'!$E$3:$E$18)/D$25</f>
        <v>0</v>
      </c>
      <c r="E34" s="9" cm="1">
        <f t="array" ref="E34">SUM(E$3:E$18*'ValueTransfer'!$E$3:$E$18)/E$25</f>
        <v>0</v>
      </c>
      <c r="F34" s="13"/>
      <c r="G34" s="13"/>
    </row>
    <row r="35" ht="20.05" customHeight="1">
      <c r="A35" s="10"/>
      <c r="B35" s="8"/>
      <c r="C35" s="9"/>
      <c r="D35" s="9"/>
      <c r="E35" s="9"/>
      <c r="F35" s="13"/>
      <c r="G35" s="13"/>
    </row>
    <row r="36" ht="68.05" customHeight="1">
      <c r="A36" t="s" s="7">
        <v>33</v>
      </c>
      <c r="B36" t="s" s="25">
        <v>62</v>
      </c>
      <c r="C36" s="9"/>
      <c r="D36" s="9"/>
      <c r="E36" s="9"/>
      <c r="F36" s="13"/>
      <c r="G36" s="13"/>
    </row>
  </sheetData>
  <mergeCells count="1">
    <mergeCell ref="A1:G1"/>
  </mergeCells>
  <hyperlinks>
    <hyperlink ref="B36" r:id="rId1" location="" tooltip="" display="https://brawlstars.fandom.com/wiki/Brawl_Stars_Championship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29" customWidth="1"/>
    <col min="7" max="16384" width="16.3516" style="29" customWidth="1"/>
  </cols>
  <sheetData>
    <row r="1" ht="27.65" customHeight="1">
      <c r="A1" t="s" s="2">
        <v>63</v>
      </c>
      <c r="B1" s="2"/>
      <c r="C1" s="2"/>
      <c r="D1" s="2"/>
      <c r="E1" s="2"/>
      <c r="F1" s="2"/>
    </row>
    <row r="2" ht="20.25" customHeight="1">
      <c r="A2" s="20"/>
      <c r="B2" t="s" s="3">
        <v>6</v>
      </c>
      <c r="C2" t="s" s="3">
        <v>7</v>
      </c>
      <c r="D2" t="s" s="3">
        <v>8</v>
      </c>
      <c r="E2" t="s" s="3">
        <v>9</v>
      </c>
      <c r="F2" t="s" s="3">
        <v>10</v>
      </c>
    </row>
    <row r="3" ht="20.25" customHeight="1">
      <c r="A3" t="s" s="4">
        <v>6</v>
      </c>
      <c r="B3" s="5">
        <v>1</v>
      </c>
      <c r="C3" s="6">
        <v>0</v>
      </c>
      <c r="D3" s="6">
        <v>0</v>
      </c>
      <c r="E3" s="6">
        <v>0</v>
      </c>
      <c r="F3" s="22">
        <v>0</v>
      </c>
    </row>
    <row r="4" ht="20.05" customHeight="1">
      <c r="A4" t="s" s="7">
        <v>7</v>
      </c>
      <c r="B4" s="8">
        <v>0</v>
      </c>
      <c r="C4" s="9">
        <v>1</v>
      </c>
      <c r="D4" s="9">
        <v>0</v>
      </c>
      <c r="E4" s="9">
        <v>0</v>
      </c>
      <c r="F4" s="15">
        <v>0</v>
      </c>
    </row>
    <row r="5" ht="20.05" customHeight="1">
      <c r="A5" t="s" s="7">
        <v>8</v>
      </c>
      <c r="B5" s="8">
        <v>0</v>
      </c>
      <c r="C5" s="9">
        <v>0</v>
      </c>
      <c r="D5" s="9">
        <v>1</v>
      </c>
      <c r="E5" s="9">
        <v>0</v>
      </c>
      <c r="F5" s="15">
        <v>0</v>
      </c>
    </row>
    <row r="6" ht="20.05" customHeight="1">
      <c r="A6" t="s" s="7">
        <v>9</v>
      </c>
      <c r="B6" s="8">
        <v>0</v>
      </c>
      <c r="C6" s="9">
        <v>0</v>
      </c>
      <c r="D6" s="9">
        <v>0</v>
      </c>
      <c r="E6" s="9">
        <v>1</v>
      </c>
      <c r="F6" s="15">
        <v>0</v>
      </c>
    </row>
    <row r="7" ht="20.05" customHeight="1">
      <c r="A7" t="s" s="7">
        <v>10</v>
      </c>
      <c r="B7" s="8">
        <v>0</v>
      </c>
      <c r="C7" s="9">
        <v>0</v>
      </c>
      <c r="D7" s="9">
        <v>0</v>
      </c>
      <c r="E7" s="9">
        <v>0</v>
      </c>
      <c r="F7" s="15">
        <v>1</v>
      </c>
    </row>
    <row r="8" ht="20.05" customHeight="1">
      <c r="A8" t="s" s="7">
        <v>11</v>
      </c>
      <c r="B8" s="8">
        <v>0</v>
      </c>
      <c r="C8" s="9">
        <v>0</v>
      </c>
      <c r="D8" s="9">
        <v>950</v>
      </c>
      <c r="E8" s="9">
        <v>0</v>
      </c>
      <c r="F8" s="15">
        <v>0</v>
      </c>
    </row>
    <row r="9" ht="20.05" customHeight="1">
      <c r="A9" t="s" s="7">
        <v>12</v>
      </c>
      <c r="B9" s="8">
        <v>0</v>
      </c>
      <c r="C9" s="9">
        <v>2000</v>
      </c>
      <c r="D9" s="9">
        <v>0</v>
      </c>
      <c r="E9" s="9">
        <v>0</v>
      </c>
      <c r="F9" s="15">
        <v>0</v>
      </c>
    </row>
    <row r="10" ht="20.05" customHeight="1">
      <c r="A10" t="s" s="7">
        <v>64</v>
      </c>
      <c r="B10" s="8">
        <v>1000</v>
      </c>
      <c r="C10" s="9">
        <v>2000</v>
      </c>
      <c r="D10" s="9">
        <v>0</v>
      </c>
      <c r="E10" s="9">
        <v>0</v>
      </c>
      <c r="F10" s="15">
        <v>0</v>
      </c>
    </row>
    <row r="11" ht="20.05" customHeight="1">
      <c r="A11" t="s" s="7">
        <v>14</v>
      </c>
      <c r="B11" s="8">
        <v>70.40000000000001</v>
      </c>
      <c r="C11" s="9">
        <v>13.8</v>
      </c>
      <c r="D11" s="9">
        <v>8.699999999999999</v>
      </c>
      <c r="E11" s="9">
        <v>0</v>
      </c>
      <c r="F11" s="15">
        <v>0</v>
      </c>
    </row>
    <row r="12" ht="20.05" customHeight="1">
      <c r="A12" t="s" s="7">
        <v>15</v>
      </c>
      <c r="B12" s="8">
        <v>70.40000000000001</v>
      </c>
      <c r="C12" s="9">
        <v>13.8</v>
      </c>
      <c r="D12" s="9">
        <v>8.699999999999999</v>
      </c>
      <c r="E12" s="9">
        <v>0</v>
      </c>
      <c r="F12" s="15">
        <v>0</v>
      </c>
    </row>
    <row r="13" ht="20.05" customHeight="1">
      <c r="A13" t="s" s="7">
        <v>16</v>
      </c>
      <c r="B13" s="8">
        <v>70.40000000000001</v>
      </c>
      <c r="C13" s="9">
        <v>13.8</v>
      </c>
      <c r="D13" s="9">
        <v>8.699999999999999</v>
      </c>
      <c r="E13" s="9">
        <v>0</v>
      </c>
      <c r="F13" s="15">
        <v>0</v>
      </c>
    </row>
    <row r="14" ht="20.05" customHeight="1">
      <c r="A14" t="s" s="7">
        <v>17</v>
      </c>
      <c r="B14" s="8">
        <v>70.40000000000001</v>
      </c>
      <c r="C14" s="9">
        <v>13.8</v>
      </c>
      <c r="D14" s="9">
        <v>8.699999999999999</v>
      </c>
      <c r="E14" s="9">
        <v>0</v>
      </c>
      <c r="F14" s="15">
        <v>0</v>
      </c>
    </row>
    <row r="15" ht="20.05" customHeight="1">
      <c r="A15" t="s" s="7">
        <v>18</v>
      </c>
      <c r="B15" s="8">
        <v>324.2</v>
      </c>
      <c r="C15" s="9">
        <v>59.2</v>
      </c>
      <c r="D15" s="9">
        <v>53</v>
      </c>
      <c r="E15" s="9">
        <v>0</v>
      </c>
      <c r="F15" s="15">
        <v>0</v>
      </c>
    </row>
    <row r="16" ht="20.05" customHeight="1">
      <c r="A16" t="s" s="7">
        <v>19</v>
      </c>
      <c r="B16" s="8">
        <v>5000</v>
      </c>
      <c r="C16" s="9">
        <v>0</v>
      </c>
      <c r="D16" s="9">
        <v>0</v>
      </c>
      <c r="E16" s="9">
        <v>0</v>
      </c>
      <c r="F16" s="15">
        <v>0</v>
      </c>
    </row>
    <row r="17" ht="20.05" customHeight="1">
      <c r="A17" t="s" s="7">
        <v>20</v>
      </c>
      <c r="B17" s="8">
        <v>0</v>
      </c>
      <c r="C17" s="9">
        <v>0</v>
      </c>
      <c r="D17" s="9">
        <v>0</v>
      </c>
      <c r="E17" s="9">
        <v>100</v>
      </c>
      <c r="F17" s="15">
        <v>0</v>
      </c>
    </row>
    <row r="18" ht="20.05" customHeight="1">
      <c r="A18" t="s" s="7">
        <v>41</v>
      </c>
      <c r="B18" s="14">
        <v>0</v>
      </c>
      <c r="C18" s="15">
        <v>0</v>
      </c>
      <c r="D18" s="15">
        <v>0</v>
      </c>
      <c r="E18" s="15">
        <v>0</v>
      </c>
      <c r="F18" s="15">
        <v>0</v>
      </c>
    </row>
    <row r="19" ht="20.05" customHeight="1">
      <c r="A19" t="s" s="7">
        <v>42</v>
      </c>
      <c r="B19" s="11"/>
      <c r="C19" s="13"/>
      <c r="D19" s="13"/>
      <c r="E19" s="13"/>
      <c r="F19" s="13"/>
    </row>
    <row r="20" ht="20.05" customHeight="1">
      <c r="A20" s="10"/>
      <c r="B20" s="11"/>
      <c r="C20" s="13"/>
      <c r="D20" s="13"/>
      <c r="E20" s="13"/>
      <c r="F20" s="13"/>
    </row>
    <row r="21" ht="20.05" customHeight="1">
      <c r="A21" s="10"/>
      <c r="B21" s="11"/>
      <c r="C21" s="13"/>
      <c r="D21" s="13"/>
      <c r="E21" s="13"/>
      <c r="F21" s="13"/>
    </row>
    <row r="22" ht="20.05" customHeight="1">
      <c r="A22" s="10"/>
      <c r="B22" s="11"/>
      <c r="C22" s="13"/>
      <c r="D22" s="13"/>
      <c r="E22" s="13"/>
      <c r="F22" s="13"/>
    </row>
    <row r="23" ht="20.05" customHeight="1">
      <c r="A23" s="10"/>
      <c r="B23" s="11"/>
      <c r="C23" s="13"/>
      <c r="D23" s="13"/>
      <c r="E23" s="13"/>
      <c r="F23" s="13"/>
    </row>
    <row r="24" ht="20.05" customHeight="1">
      <c r="A24" s="10"/>
      <c r="B24" s="11"/>
      <c r="C24" s="13"/>
      <c r="D24" s="13"/>
      <c r="E24" s="13"/>
      <c r="F24" s="13"/>
    </row>
    <row r="25" ht="20.05" customHeight="1">
      <c r="A25" s="10"/>
      <c r="B25" s="11"/>
      <c r="C25" s="13"/>
      <c r="D25" s="13"/>
      <c r="E25" s="13"/>
      <c r="F25" s="13"/>
    </row>
    <row r="26" ht="20.05" customHeight="1">
      <c r="A26" s="10"/>
      <c r="B26" s="11"/>
      <c r="C26" s="13"/>
      <c r="D26" s="13"/>
      <c r="E26" s="13"/>
      <c r="F26" s="13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0" customWidth="1"/>
    <col min="6" max="16384" width="16.3516" style="30" customWidth="1"/>
  </cols>
  <sheetData>
    <row r="1" ht="27.65" customHeight="1">
      <c r="A1" t="s" s="2">
        <v>65</v>
      </c>
      <c r="B1" s="2"/>
      <c r="C1" s="2"/>
      <c r="D1" s="2"/>
      <c r="E1" s="2"/>
    </row>
    <row r="2" ht="20.25" customHeight="1">
      <c r="A2" s="20"/>
      <c r="B2" s="20"/>
      <c r="C2" s="20"/>
      <c r="D2" s="20"/>
      <c r="E2" s="20"/>
    </row>
    <row r="3" ht="20.25" customHeight="1">
      <c r="A3" t="s" s="4">
        <v>6</v>
      </c>
      <c r="B3" s="31" cm="1">
        <f t="array" ref="B3">'Brawl Pass'!B31+'Ranked Pass'!B31+'Daily Play'!B31+'Standard events'!B31+#REF!</f>
      </c>
      <c r="C3" s="23"/>
      <c r="D3" s="23"/>
      <c r="E3" s="23"/>
    </row>
    <row r="4" ht="20.05" customHeight="1">
      <c r="A4" t="s" s="7">
        <v>7</v>
      </c>
      <c r="B4" s="11" cm="1">
        <f t="array" ref="B4">'Brawl Pass'!B32+'Ranked Pass'!B32+'Daily Play'!B32+'Standard events'!B32+#REF!</f>
      </c>
      <c r="C4" s="13"/>
      <c r="D4" s="13"/>
      <c r="E4" s="13"/>
    </row>
    <row r="5" ht="20.05" customHeight="1">
      <c r="A5" t="s" s="7">
        <v>8</v>
      </c>
      <c r="B5" s="11" cm="1">
        <f t="array" ref="B5">'Brawl Pass'!B33+'Ranked Pass'!B33+'Daily Play'!B33+'Standard events'!B33+#REF!</f>
      </c>
      <c r="C5" s="13"/>
      <c r="D5" s="13"/>
      <c r="E5" s="13"/>
    </row>
    <row r="6" ht="20.05" customHeight="1">
      <c r="A6" t="s" s="7">
        <v>9</v>
      </c>
      <c r="B6" s="11" cm="1">
        <f t="array" ref="B6">'Brawl Pass'!B34+'Ranked Pass'!B34+'Daily Play'!B34+'Standard events'!B34+#REF!</f>
      </c>
      <c r="C6" s="13"/>
      <c r="D6" s="13"/>
      <c r="E6" s="13"/>
    </row>
    <row r="7" ht="20.05" customHeight="1">
      <c r="A7" s="10"/>
      <c r="B7" s="11"/>
      <c r="C7" s="13"/>
      <c r="D7" s="13"/>
      <c r="E7" s="13"/>
    </row>
    <row r="8" ht="20.05" customHeight="1">
      <c r="A8" s="10"/>
      <c r="B8" s="11"/>
      <c r="C8" s="13"/>
      <c r="D8" s="13"/>
      <c r="E8" s="13"/>
    </row>
    <row r="9" ht="20.05" customHeight="1">
      <c r="A9" s="10"/>
      <c r="B9" s="11"/>
      <c r="C9" s="13"/>
      <c r="D9" s="13"/>
      <c r="E9" s="13"/>
    </row>
    <row r="10" ht="20.05" customHeight="1">
      <c r="A10" s="10"/>
      <c r="B10" s="11"/>
      <c r="C10" s="13"/>
      <c r="D10" s="13"/>
      <c r="E10" s="13"/>
    </row>
    <row r="11" ht="20.05" customHeight="1">
      <c r="A11" s="10"/>
      <c r="B11" s="11"/>
      <c r="C11" s="13"/>
      <c r="D11" s="13"/>
      <c r="E11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