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lor Code" sheetId="1" r:id="rId5"/>
    <sheet name="Daily Play" sheetId="2" r:id="rId6"/>
    <sheet name="Brawl Pass" sheetId="3" r:id="rId7"/>
    <sheet name="Ranked Pass" sheetId="4" r:id="rId8"/>
    <sheet name="Standard events" sheetId="5" r:id="rId9"/>
    <sheet name="Challenges" sheetId="6" r:id="rId10"/>
    <sheet name="ValueTransfer" sheetId="7" r:id="rId11"/>
    <sheet name="Total daily income" sheetId="8" r:id="rId1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<sst xmlns="http://schemas.openxmlformats.org/spreadsheetml/2006/main" uniqueCount="82">
  <si>
    <t>Table 1</t>
  </si>
  <si>
    <t>Color code</t>
  </si>
  <si>
    <t>Accounted for in a summary column</t>
  </si>
  <si>
    <t>Delta variable rewards                  Example: Daily wins</t>
  </si>
  <si>
    <t>Mutually Exclusive Conditional column                           Example: BrawlPass tiers</t>
  </si>
  <si>
    <t>Non-delta variable rewards                        Example: Daily freebie</t>
  </si>
  <si>
    <t>Gems</t>
  </si>
  <si>
    <t>Keys and</t>
  </si>
  <si>
    <t>stackable things</t>
  </si>
  <si>
    <t>that buy resources</t>
  </si>
  <si>
    <t>Cost</t>
  </si>
  <si>
    <t>Cycle time</t>
  </si>
  <si>
    <t>Coins</t>
  </si>
  <si>
    <t>Power Points</t>
  </si>
  <si>
    <t>Credits</t>
  </si>
  <si>
    <t>Bling</t>
  </si>
  <si>
    <t>Daily Play Income</t>
  </si>
  <si>
    <t>Daily play</t>
  </si>
  <si>
    <t>Total Fixed</t>
  </si>
  <si>
    <t>Daily 6 wins</t>
  </si>
  <si>
    <t>In-game shop freebie</t>
  </si>
  <si>
    <t>Store freebie</t>
  </si>
  <si>
    <t>Login streak √</t>
  </si>
  <si>
    <t>Brawler Key</t>
  </si>
  <si>
    <t>Resource Key</t>
  </si>
  <si>
    <t>Buffie Key</t>
  </si>
  <si>
    <t>Starr Drop</t>
  </si>
  <si>
    <t>Epic Drop</t>
  </si>
  <si>
    <t>Mythic Drop</t>
  </si>
  <si>
    <t>Legendary Drop</t>
  </si>
  <si>
    <t>Chaos Drop</t>
  </si>
  <si>
    <t>Hypercharge Drop</t>
  </si>
  <si>
    <t>Ranked Drop</t>
  </si>
  <si>
    <t>Yearly Frequency</t>
  </si>
  <si>
    <t>?</t>
  </si>
  <si>
    <t xml:space="preserve"> </t>
  </si>
  <si>
    <t>Time (each cycle)</t>
  </si>
  <si>
    <t>Event Coins Income</t>
  </si>
  <si>
    <t>Event Power Points Income</t>
  </si>
  <si>
    <t>Event Credits Income</t>
  </si>
  <si>
    <t>Event Bling Income</t>
  </si>
  <si>
    <t>Daily Coins Income</t>
  </si>
  <si>
    <t>Daily Power Points Income</t>
  </si>
  <si>
    <t>Daily Credits Income</t>
  </si>
  <si>
    <t>Daily Bling Income</t>
  </si>
  <si>
    <t>Sources</t>
  </si>
  <si>
    <r>
      <rPr>
        <u val="single"/>
        <sz val="10"/>
        <color indexed="8"/>
        <rFont val="Helvetica Neue"/>
      </rPr>
      <t>https://brawlstars.fandom.com/wiki/Daily_Streak</t>
    </r>
  </si>
  <si>
    <t>Brawl Pass Income</t>
  </si>
  <si>
    <t>Brawl Pass</t>
  </si>
  <si>
    <t>Free √</t>
  </si>
  <si>
    <t>Regular √</t>
  </si>
  <si>
    <t>Plus √</t>
  </si>
  <si>
    <t>1 Tail reward</t>
  </si>
  <si>
    <t>XP</t>
  </si>
  <si>
    <t>Mega Box</t>
  </si>
  <si>
    <t>Time (days)</t>
  </si>
  <si>
    <t>i just counted ingame (april 2026)</t>
  </si>
  <si>
    <t>duh</t>
  </si>
  <si>
    <t>Ranked Pass Income</t>
  </si>
  <si>
    <t>Brawl Pass √</t>
  </si>
  <si>
    <t>Pro √</t>
  </si>
  <si>
    <t>1 Tail Reward √</t>
  </si>
  <si>
    <t>Mega Pig √</t>
  </si>
  <si>
    <t>Total (New Brawler Event)</t>
  </si>
  <si>
    <t>New Mythic Brawler Event √</t>
  </si>
  <si>
    <t>New Leg Brawler Event</t>
  </si>
  <si>
    <t>New UL Brawler Event √</t>
  </si>
  <si>
    <t>Total (rushes)</t>
  </si>
  <si>
    <t>Coin Rush</t>
  </si>
  <si>
    <t>Power Rush</t>
  </si>
  <si>
    <t>Starr Rush</t>
  </si>
  <si>
    <t>Chaos Rush</t>
  </si>
  <si>
    <t>Buffie</t>
  </si>
  <si>
    <r>
      <rPr>
        <u val="single"/>
        <sz val="10"/>
        <color indexed="8"/>
        <rFont val="Helvetica Neue"/>
      </rPr>
      <t>https://brawlstars.fandom.com/wiki/Mega_Pig</t>
    </r>
  </si>
  <si>
    <r>
      <rPr>
        <u val="single"/>
        <sz val="10"/>
        <color indexed="8"/>
        <rFont val="Helvetica Neue"/>
      </rPr>
      <t>https://docs.google.com/document/d/1PbqTDjwGPuzl7F7BSsfYLgZKp2scx4zprCahzk_HGnY/edit?tab=t.0</t>
    </r>
  </si>
  <si>
    <r>
      <rPr>
        <u val="single"/>
        <sz val="10"/>
        <color indexed="8"/>
        <rFont val="Helvetica Neue"/>
      </rPr>
      <t>https://brawlstars.fandom.com/wiki/Rush_Events</t>
    </r>
  </si>
  <si>
    <t>Championship Chall</t>
  </si>
  <si>
    <t>Random Challenges (total)</t>
  </si>
  <si>
    <r>
      <rPr>
        <u val="single"/>
        <sz val="10"/>
        <color indexed="8"/>
        <rFont val="Helvetica Neue"/>
      </rPr>
      <t>https://brawlstars.fandom.com/wiki/Brawl_Stars_Championship</t>
    </r>
  </si>
  <si>
    <t>Value Transfers</t>
  </si>
  <si>
    <t>Buffie (or Key)</t>
  </si>
  <si>
    <t>Total daily income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</si>
</sst>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[$€-2] 0.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49" fontId="2" fillId="4" borderId="1" applyNumberFormat="1" applyFont="1" applyFill="1" applyBorder="1" applyAlignment="1" applyProtection="0">
      <alignment vertical="top" wrapText="1"/>
    </xf>
    <xf numFmtId="49" fontId="2" fillId="5" borderId="1" applyNumberFormat="1" applyFont="1" applyFill="1" applyBorder="1" applyAlignment="1" applyProtection="0">
      <alignment vertical="top" wrapText="1"/>
    </xf>
    <xf numFmtId="49" fontId="2" fillId="6" borderId="1" applyNumberFormat="1" applyFont="1" applyFill="1" applyBorder="1" applyAlignment="1" applyProtection="0">
      <alignment vertical="top" wrapText="1"/>
    </xf>
    <xf numFmtId="0" fontId="2" fillId="7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7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fillId="8" borderId="6" applyNumberFormat="1" applyFont="1" applyFill="1" applyBorder="1" applyAlignment="1" applyProtection="0">
      <alignment vertical="top" wrapText="1"/>
    </xf>
    <xf numFmtId="49" fontId="0" fillId="9" borderId="6" applyNumberFormat="1" applyFont="1" applyFill="1" applyBorder="1" applyAlignment="1" applyProtection="0">
      <alignment vertical="top" wrapText="1"/>
    </xf>
    <xf numFmtId="49" fontId="0" fillId="10" borderId="6" applyNumberFormat="1" applyFont="1" applyFill="1" applyBorder="1" applyAlignment="1" applyProtection="0">
      <alignment vertical="top" wrapText="1"/>
    </xf>
    <xf numFmtId="49" fontId="0" fillId="6" borderId="6" applyNumberFormat="1" applyFont="1" applyFill="1" applyBorder="1" applyAlignment="1" applyProtection="0">
      <alignment vertical="top" wrapText="1"/>
    </xf>
    <xf numFmtId="49" fontId="0" fillId="11" borderId="6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7" borderId="2" applyNumberFormat="1" applyFont="1" applyFill="1" applyBorder="1" applyAlignment="1" applyProtection="0">
      <alignment vertical="top" wrapText="1"/>
    </xf>
    <xf numFmtId="1" fontId="0" borderId="3" applyNumberFormat="1" applyFont="1" applyFill="0" applyBorder="1" applyAlignment="1" applyProtection="0">
      <alignment vertical="top" wrapText="1"/>
    </xf>
    <xf numFmtId="1" fontId="0" borderId="4" applyNumberFormat="1" applyFont="1" applyFill="0" applyBorder="1" applyAlignment="1" applyProtection="0">
      <alignment vertical="top" wrapText="1"/>
    </xf>
    <xf numFmtId="49" fontId="2" fillId="7" borderId="5" applyNumberFormat="1" applyFont="1" applyFill="1" applyBorder="1" applyAlignment="1" applyProtection="0">
      <alignment vertical="top" wrapText="1"/>
    </xf>
    <xf numFmtId="1" fontId="0" borderId="6" applyNumberFormat="1" applyFont="1" applyFill="0" applyBorder="1" applyAlignment="1" applyProtection="0">
      <alignment vertical="top" wrapText="1"/>
    </xf>
    <xf numFmtId="1" fontId="0" borderId="7" applyNumberFormat="1" applyFont="1" applyFill="0" applyBorder="1" applyAlignment="1" applyProtection="0">
      <alignment vertical="top" wrapText="1"/>
    </xf>
    <xf numFmtId="1" fontId="0" fillId="8" borderId="6" applyNumberFormat="1" applyFont="1" applyFill="1" applyBorder="1" applyAlignment="1" applyProtection="0">
      <alignment vertical="top" wrapText="1"/>
    </xf>
    <xf numFmtId="1" fontId="0" fillId="8" borderId="7" applyNumberFormat="1" applyFont="1" applyFill="1" applyBorder="1" applyAlignment="1" applyProtection="0">
      <alignment vertical="top" wrapText="1"/>
    </xf>
    <xf numFmtId="1" fontId="0" fillId="9" borderId="6" applyNumberFormat="1" applyFont="1" applyFill="1" applyBorder="1" applyAlignment="1" applyProtection="0">
      <alignment vertical="top" wrapText="1"/>
    </xf>
    <xf numFmtId="1" fontId="0" fillId="12" borderId="6" applyNumberFormat="1" applyFont="1" applyFill="1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1" fontId="0" fillId="6" borderId="6" applyNumberFormat="1" applyFont="1" applyFill="1" applyBorder="1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1" fontId="0" fillId="11" borderId="6" applyNumberFormat="1" applyFont="1" applyFill="1" applyBorder="1" applyAlignment="1" applyProtection="0">
      <alignment vertical="top" wrapText="1"/>
    </xf>
    <xf numFmtId="1" fontId="0" fillId="11" borderId="7" applyNumberFormat="1" applyFont="1" applyFill="1" applyBorder="1" applyAlignment="1" applyProtection="0">
      <alignment vertical="top" wrapText="1"/>
    </xf>
    <xf numFmtId="1" fontId="0" fillId="13" borderId="6" applyNumberFormat="1" applyFont="1" applyFill="1" applyBorder="1" applyAlignment="1" applyProtection="0">
      <alignment vertical="top" wrapText="1"/>
    </xf>
    <xf numFmtId="1" fontId="0" fillId="13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fillId="8" borderId="6" applyNumberFormat="1" applyFont="1" applyFill="1" applyBorder="1" applyAlignment="1" applyProtection="0">
      <alignment vertical="top" wrapText="1"/>
    </xf>
    <xf numFmtId="0" fontId="0" fillId="8" borderId="7" applyNumberFormat="1" applyFont="1" applyFill="1" applyBorder="1" applyAlignment="1" applyProtection="0">
      <alignment vertical="top" wrapText="1"/>
    </xf>
    <xf numFmtId="0" fontId="0" fillId="9" borderId="6" applyNumberFormat="1" applyFont="1" applyFill="1" applyBorder="1" applyAlignment="1" applyProtection="0">
      <alignment vertical="top" wrapText="1"/>
    </xf>
    <xf numFmtId="0" fontId="0" fillId="9" borderId="7" applyNumberFormat="1" applyFont="1" applyFill="1" applyBorder="1" applyAlignment="1" applyProtection="0">
      <alignment vertical="top" wrapText="1"/>
    </xf>
    <xf numFmtId="0" fontId="0" fillId="12" borderId="6" applyNumberFormat="1" applyFont="1" applyFill="1" applyBorder="1" applyAlignment="1" applyProtection="0">
      <alignment vertical="top" wrapText="1"/>
    </xf>
    <xf numFmtId="0" fontId="0" fillId="12" borderId="7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60" fontId="0" borderId="6" applyNumberFormat="1" applyFont="1" applyFill="0" applyBorder="1" applyAlignment="1" applyProtection="0">
      <alignment vertical="top" wrapText="1"/>
    </xf>
    <xf numFmtId="60" fontId="0" fillId="10" borderId="7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59" fontId="0" fillId="6" borderId="7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fillId="9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1" fontId="0" borderId="2" applyNumberFormat="1" applyFont="1" applyFill="0" applyBorder="1" applyAlignment="1" applyProtection="0">
      <alignment vertical="top" wrapText="1"/>
    </xf>
    <xf numFmtId="1" fontId="0" borderId="5" applyNumberFormat="1" applyFont="1" applyFill="0" applyBorder="1" applyAlignment="1" applyProtection="0">
      <alignment vertical="top" wrapText="1"/>
    </xf>
    <xf numFmtId="1" fontId="0" fillId="9" borderId="7" applyNumberFormat="1" applyFont="1" applyFill="1" applyBorder="1" applyAlignment="1" applyProtection="0">
      <alignment vertical="top" wrapText="1"/>
    </xf>
    <xf numFmtId="1" fontId="0" fillId="12" borderId="7" applyNumberFormat="1" applyFont="1" applyFill="1" applyBorder="1" applyAlignment="1" applyProtection="0">
      <alignment vertical="top" wrapText="1"/>
    </xf>
    <xf numFmtId="59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60" fontId="0" borderId="5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5e5e5e"/>
      <rgbColor rgb="ff72fce9"/>
      <rgbColor rgb="ffff94ca"/>
      <rgbColor rgb="ffff968c"/>
      <rgbColor rgb="ffdbdbdb"/>
      <rgbColor rgb="ff88f94e"/>
      <rgbColor rgb="ff56c1fe"/>
      <rgbColor rgb="ff60d836"/>
      <rgbColor rgb="fffff056"/>
      <rgbColor rgb="ff00a1fe"/>
      <rgbColor rgb="ffffd9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rawlstars.fandom.com/wiki/Daily_Streak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brawlstars.fandom.com/wiki/Mega_Pig" TargetMode="External"/><Relationship Id="rId2" Type="http://schemas.openxmlformats.org/officeDocument/2006/relationships/hyperlink" Target="https://docs.google.com/document/d/1PbqTDjwGPuzl7F7BSsfYLgZKp2scx4zprCahzk_HGnY/edit?tab=t.0" TargetMode="External"/><Relationship Id="rId3" Type="http://schemas.openxmlformats.org/officeDocument/2006/relationships/hyperlink" Target="https://brawlstars.fandom.com/wiki/Rush_Events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brawlstars.fandom.com/wiki/Brawl_Stars_Championship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7.4375" style="1" customWidth="1"/>
    <col min="3" max="3" width="26.9062" style="1" customWidth="1"/>
    <col min="4" max="4" width="33.7812" style="1" customWidth="1"/>
    <col min="5" max="5" width="31.4219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1</v>
      </c>
      <c r="B2" t="s" s="4">
        <v>2</v>
      </c>
      <c r="C2" t="s" s="5">
        <v>3</v>
      </c>
      <c r="D2" t="s" s="6">
        <v>4</v>
      </c>
      <c r="E2" t="s" s="7">
        <v>5</v>
      </c>
    </row>
    <row r="3" ht="20.25" customHeight="1">
      <c r="A3" s="8"/>
      <c r="B3" s="9"/>
      <c r="C3" s="10"/>
      <c r="D3" s="10"/>
      <c r="E3" s="10"/>
    </row>
    <row r="4" ht="20.05" customHeight="1">
      <c r="A4" s="11"/>
      <c r="B4" s="12"/>
      <c r="C4" s="13"/>
      <c r="D4" s="13"/>
      <c r="E4" s="13"/>
    </row>
    <row r="5" ht="20.05" customHeight="1">
      <c r="A5" s="11"/>
      <c r="B5" t="s" s="14">
        <v>6</v>
      </c>
      <c r="C5" s="13"/>
      <c r="D5" s="13"/>
      <c r="E5" s="13"/>
    </row>
    <row r="6" ht="20.05" customHeight="1">
      <c r="A6" s="11"/>
      <c r="B6" t="s" s="15">
        <v>7</v>
      </c>
      <c r="C6" s="13"/>
      <c r="D6" s="13"/>
      <c r="E6" s="13"/>
    </row>
    <row r="7" ht="20.05" customHeight="1">
      <c r="A7" s="11"/>
      <c r="B7" t="s" s="15">
        <v>8</v>
      </c>
      <c r="C7" s="13"/>
      <c r="D7" s="13"/>
      <c r="E7" s="13"/>
    </row>
    <row r="8" ht="20.05" customHeight="1">
      <c r="A8" s="11"/>
      <c r="B8" t="s" s="15">
        <v>9</v>
      </c>
      <c r="C8" s="13"/>
      <c r="D8" s="13"/>
      <c r="E8" s="13"/>
    </row>
    <row r="9" ht="20.05" customHeight="1">
      <c r="A9" s="11"/>
      <c r="B9" s="12"/>
      <c r="C9" s="13"/>
      <c r="D9" s="13"/>
      <c r="E9" s="13"/>
    </row>
    <row r="10" ht="20.05" customHeight="1">
      <c r="A10" s="11"/>
      <c r="B10" s="12"/>
      <c r="C10" s="13"/>
      <c r="D10" s="13"/>
      <c r="E10" s="13"/>
    </row>
    <row r="11" ht="20.05" customHeight="1">
      <c r="A11" s="11"/>
      <c r="B11" s="12"/>
      <c r="C11" s="13"/>
      <c r="D11" s="13"/>
      <c r="E11" s="13"/>
    </row>
    <row r="12" ht="20.05" customHeight="1">
      <c r="A12" s="11"/>
      <c r="B12" s="12"/>
      <c r="C12" s="13"/>
      <c r="D12" s="13"/>
      <c r="E12" s="13"/>
    </row>
    <row r="13" ht="20.05" customHeight="1">
      <c r="A13" s="11"/>
      <c r="B13" s="12"/>
      <c r="C13" s="13"/>
      <c r="D13" s="13"/>
      <c r="E13" s="13"/>
    </row>
    <row r="14" ht="20.05" customHeight="1">
      <c r="A14" s="11"/>
      <c r="B14" t="s" s="16">
        <v>10</v>
      </c>
      <c r="C14" s="13"/>
      <c r="D14" s="13"/>
      <c r="E14" s="13"/>
    </row>
    <row r="15" ht="20.05" customHeight="1">
      <c r="A15" s="11"/>
      <c r="B15" t="s" s="17">
        <v>11</v>
      </c>
      <c r="C15" s="13"/>
      <c r="D15" s="13"/>
      <c r="E15" s="13"/>
    </row>
    <row r="16" ht="20.05" customHeight="1">
      <c r="A16" s="11"/>
      <c r="B16" t="s" s="18">
        <v>12</v>
      </c>
      <c r="C16" s="13"/>
      <c r="D16" s="13"/>
      <c r="E16" s="13"/>
    </row>
    <row r="17" ht="20.05" customHeight="1">
      <c r="A17" s="11"/>
      <c r="B17" t="s" s="18">
        <v>13</v>
      </c>
      <c r="C17" s="13"/>
      <c r="D17" s="13"/>
      <c r="E17" s="13"/>
    </row>
    <row r="18" ht="20.05" customHeight="1">
      <c r="A18" s="11"/>
      <c r="B18" t="s" s="18">
        <v>14</v>
      </c>
      <c r="C18" s="13"/>
      <c r="D18" s="13"/>
      <c r="E18" s="13"/>
    </row>
    <row r="19" ht="20.05" customHeight="1">
      <c r="A19" s="11"/>
      <c r="B19" t="s" s="18">
        <v>15</v>
      </c>
      <c r="C19" s="13"/>
      <c r="D19" s="13"/>
      <c r="E19" s="13"/>
    </row>
    <row r="20" ht="20.05" customHeight="1">
      <c r="A20" s="11"/>
      <c r="B20" s="12"/>
      <c r="C20" s="13"/>
      <c r="D20" s="13"/>
      <c r="E20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19" customWidth="1"/>
    <col min="2" max="3" width="16.3516" style="19" customWidth="1"/>
    <col min="4" max="4" width="18.3516" style="19" customWidth="1"/>
    <col min="5" max="6" width="16.3516" style="19" customWidth="1"/>
    <col min="7" max="16384" width="16.3516" style="19" customWidth="1"/>
  </cols>
  <sheetData>
    <row r="1" ht="27.65" customHeight="1">
      <c r="A1" t="s" s="2">
        <v>16</v>
      </c>
      <c r="B1" s="2"/>
      <c r="C1" s="2"/>
      <c r="D1" s="2"/>
      <c r="E1" s="2"/>
      <c r="F1" s="2"/>
    </row>
    <row r="2" ht="20.25" customHeight="1">
      <c r="A2" t="s" s="3">
        <v>17</v>
      </c>
      <c r="B2" t="s" s="5">
        <v>18</v>
      </c>
      <c r="C2" t="s" s="4">
        <v>19</v>
      </c>
      <c r="D2" t="s" s="7">
        <v>20</v>
      </c>
      <c r="E2" t="s" s="4">
        <v>21</v>
      </c>
      <c r="F2" t="s" s="4">
        <v>22</v>
      </c>
    </row>
    <row r="3" ht="20.25" customHeight="1">
      <c r="A3" t="s" s="20">
        <v>12</v>
      </c>
      <c r="B3" s="21"/>
      <c r="C3" s="22">
        <v>0</v>
      </c>
      <c r="D3" s="22">
        <v>20</v>
      </c>
      <c r="E3" s="22">
        <v>50</v>
      </c>
      <c r="F3" s="22" cm="1">
        <f t="array" ref="F3">1025/60</f>
        <v>17.0833333333333</v>
      </c>
    </row>
    <row r="4" ht="20.05" customHeight="1">
      <c r="A4" t="s" s="23">
        <v>13</v>
      </c>
      <c r="B4" s="24"/>
      <c r="C4" s="25">
        <v>0</v>
      </c>
      <c r="D4" s="25">
        <v>15</v>
      </c>
      <c r="E4" s="25">
        <v>25</v>
      </c>
      <c r="F4" s="25" cm="1">
        <f t="array" ref="F4">145/60</f>
        <v>2.41666666666667</v>
      </c>
    </row>
    <row r="5" ht="20.05" customHeight="1">
      <c r="A5" t="s" s="23">
        <v>14</v>
      </c>
      <c r="B5" s="24"/>
      <c r="C5" s="25">
        <v>0</v>
      </c>
      <c r="D5" s="25">
        <v>5</v>
      </c>
      <c r="E5" s="25">
        <v>10</v>
      </c>
      <c r="F5" s="25">
        <v>2.91666666666667</v>
      </c>
    </row>
    <row r="6" ht="20.05" customHeight="1">
      <c r="A6" t="s" s="23">
        <v>15</v>
      </c>
      <c r="B6" s="24"/>
      <c r="C6" s="25">
        <v>0</v>
      </c>
      <c r="D6" s="25">
        <v>0</v>
      </c>
      <c r="E6" s="25">
        <v>10</v>
      </c>
      <c r="F6" s="25">
        <v>7.91666666666667</v>
      </c>
    </row>
    <row r="7" ht="20.05" customHeight="1">
      <c r="A7" t="s" s="23">
        <v>6</v>
      </c>
      <c r="B7" s="26"/>
      <c r="C7" s="25">
        <v>0</v>
      </c>
      <c r="D7" s="27">
        <v>0</v>
      </c>
      <c r="E7" s="25">
        <v>0.2</v>
      </c>
      <c r="F7" s="25" cm="1">
        <f t="array" ref="F7">6/60</f>
        <v>0.1</v>
      </c>
    </row>
    <row r="8" ht="20.05" customHeight="1">
      <c r="A8" t="s" s="23">
        <v>23</v>
      </c>
      <c r="B8" s="28"/>
      <c r="C8" s="25">
        <v>0</v>
      </c>
      <c r="D8" s="25">
        <v>0</v>
      </c>
      <c r="E8" s="25">
        <v>0</v>
      </c>
      <c r="F8" s="25">
        <v>0</v>
      </c>
    </row>
    <row r="9" ht="20.05" customHeight="1">
      <c r="A9" t="s" s="23">
        <v>24</v>
      </c>
      <c r="B9" s="29"/>
      <c r="C9" s="25">
        <v>0</v>
      </c>
      <c r="D9" s="25">
        <v>0</v>
      </c>
      <c r="E9" s="25">
        <v>0</v>
      </c>
      <c r="F9" s="25">
        <v>0</v>
      </c>
    </row>
    <row r="10" ht="20.05" customHeight="1">
      <c r="A10" t="s" s="23">
        <v>25</v>
      </c>
      <c r="B10" s="28"/>
      <c r="C10" s="25">
        <v>0</v>
      </c>
      <c r="D10" s="25">
        <v>0</v>
      </c>
      <c r="E10" s="25">
        <v>0</v>
      </c>
      <c r="F10" s="25">
        <v>0</v>
      </c>
    </row>
    <row r="11" ht="20.05" customHeight="1">
      <c r="A11" t="s" s="23">
        <v>26</v>
      </c>
      <c r="B11" s="24"/>
      <c r="C11" s="25">
        <v>5</v>
      </c>
      <c r="D11" s="25">
        <v>0</v>
      </c>
      <c r="E11" s="25">
        <v>0</v>
      </c>
      <c r="F11" s="25">
        <v>9</v>
      </c>
    </row>
    <row r="12" ht="20.05" customHeight="1">
      <c r="A12" t="s" s="23">
        <v>27</v>
      </c>
      <c r="B12" s="24"/>
      <c r="C12" s="25">
        <v>0</v>
      </c>
      <c r="D12" s="25">
        <v>0</v>
      </c>
      <c r="E12" s="25">
        <v>0</v>
      </c>
      <c r="F12" s="25">
        <v>0</v>
      </c>
    </row>
    <row r="13" ht="20.05" customHeight="1">
      <c r="A13" t="s" s="23">
        <v>28</v>
      </c>
      <c r="B13" s="24"/>
      <c r="C13" s="25">
        <v>0</v>
      </c>
      <c r="D13" s="25">
        <v>0</v>
      </c>
      <c r="E13" s="25">
        <v>0</v>
      </c>
      <c r="F13" s="25">
        <v>0</v>
      </c>
    </row>
    <row r="14" ht="20.05" customHeight="1">
      <c r="A14" t="s" s="23">
        <v>29</v>
      </c>
      <c r="B14" s="24"/>
      <c r="C14" s="25">
        <v>0</v>
      </c>
      <c r="D14" s="25">
        <v>0</v>
      </c>
      <c r="E14" s="25">
        <v>0</v>
      </c>
      <c r="F14" s="25">
        <v>0</v>
      </c>
    </row>
    <row r="15" ht="20.05" customHeight="1">
      <c r="A15" t="s" s="23">
        <v>30</v>
      </c>
      <c r="B15" s="24"/>
      <c r="C15" s="25">
        <v>1</v>
      </c>
      <c r="D15" s="25">
        <v>0</v>
      </c>
      <c r="E15" s="25">
        <v>0</v>
      </c>
      <c r="F15" s="25">
        <v>0</v>
      </c>
    </row>
    <row r="16" ht="20.05" customHeight="1">
      <c r="A16" t="s" s="23">
        <v>31</v>
      </c>
      <c r="B16" s="24"/>
      <c r="C16" s="25">
        <v>0</v>
      </c>
      <c r="D16" s="25">
        <v>0</v>
      </c>
      <c r="E16" s="25">
        <v>0</v>
      </c>
      <c r="F16" s="25">
        <v>1</v>
      </c>
    </row>
    <row r="17" ht="20.05" customHeight="1">
      <c r="A17" t="s" s="23">
        <v>32</v>
      </c>
      <c r="B17" s="24"/>
      <c r="C17" s="25">
        <v>0</v>
      </c>
      <c r="D17" s="25">
        <v>0</v>
      </c>
      <c r="E17" s="25">
        <v>0</v>
      </c>
      <c r="F17" s="25">
        <v>0</v>
      </c>
    </row>
    <row r="18" ht="20.05" customHeight="1">
      <c r="A18" s="11"/>
      <c r="B18" s="12"/>
      <c r="C18" s="13"/>
      <c r="D18" s="30"/>
      <c r="E18" s="30"/>
      <c r="F18" s="30"/>
    </row>
    <row r="19" ht="20.05" customHeight="1">
      <c r="A19" s="11"/>
      <c r="B19" s="12"/>
      <c r="C19" s="13"/>
      <c r="D19" s="13"/>
      <c r="E19" s="13"/>
      <c r="F19" s="13"/>
    </row>
    <row r="20" ht="20.05" customHeight="1">
      <c r="A20" s="11"/>
      <c r="B20" s="12"/>
      <c r="C20" s="13"/>
      <c r="D20" s="13"/>
      <c r="E20" s="13"/>
      <c r="F20" s="13"/>
    </row>
    <row r="21" ht="20.05" customHeight="1">
      <c r="A21" s="11"/>
      <c r="B21" s="12"/>
      <c r="C21" s="13"/>
      <c r="D21" s="13"/>
      <c r="E21" s="13"/>
      <c r="F21" s="13"/>
    </row>
    <row r="22" ht="20.05" customHeight="1">
      <c r="A22" s="11"/>
      <c r="B22" s="12"/>
      <c r="C22" s="13"/>
      <c r="D22" s="13"/>
      <c r="E22" s="13"/>
      <c r="F22" s="13"/>
    </row>
    <row r="23" ht="20.05" customHeight="1">
      <c r="A23" t="s" s="23">
        <v>33</v>
      </c>
      <c r="B23" s="12"/>
      <c r="C23" s="31">
        <v>365</v>
      </c>
      <c r="D23" s="31">
        <v>365</v>
      </c>
      <c r="E23" t="s" s="32">
        <v>34</v>
      </c>
      <c r="F23" s="31">
        <v>365</v>
      </c>
    </row>
    <row r="24" ht="20.05" customHeight="1">
      <c r="A24" t="s" s="23">
        <v>10</v>
      </c>
      <c r="B24" t="s" s="16">
        <v>35</v>
      </c>
      <c r="C24" s="33">
        <v>0</v>
      </c>
      <c r="D24" s="33">
        <v>0</v>
      </c>
      <c r="E24" s="33">
        <v>0</v>
      </c>
      <c r="F24" s="33">
        <v>0</v>
      </c>
    </row>
    <row r="25" ht="20.05" customHeight="1">
      <c r="A25" t="s" s="23">
        <v>36</v>
      </c>
      <c r="B25" s="34">
        <v>1</v>
      </c>
      <c r="C25" s="31">
        <v>1</v>
      </c>
      <c r="D25" s="35">
        <v>1</v>
      </c>
      <c r="E25" s="31">
        <v>1</v>
      </c>
      <c r="F25" s="31">
        <v>60</v>
      </c>
    </row>
    <row r="26" ht="20.05" customHeight="1">
      <c r="A26" t="s" s="23">
        <v>37</v>
      </c>
      <c r="B26" s="36" cm="1">
        <f t="array" ref="B26">(C26/C$25+E26/E$25+F26/F$25)*B$25</f>
        <v>820.378055555556</v>
      </c>
      <c r="C26" s="25" cm="1">
        <f t="array" ref="C26">SUM(C$3:C$18*'ValueTransfer'!$B$3:$B$18)</f>
        <v>676.2</v>
      </c>
      <c r="D26" s="37" cm="1">
        <f t="array" ref="D26">SUM(D$3:D$18*'ValueTransfer'!$B$3:$B$18)</f>
        <v>20</v>
      </c>
      <c r="E26" s="25" cm="1">
        <f t="array" ref="E26">SUM(E$3:E$18*'ValueTransfer'!$B$3:$B$18)</f>
        <v>50</v>
      </c>
      <c r="F26" s="25" cm="1">
        <f t="array" ref="F26">SUM(F$3:F$18*'ValueTransfer'!$B$3:$B$18)</f>
        <v>5650.683333333330</v>
      </c>
    </row>
    <row r="27" ht="20.05" customHeight="1">
      <c r="A27" t="s" s="23">
        <v>38</v>
      </c>
      <c r="B27" s="38" cm="1">
        <f t="array" ref="B27">(C27/C$25+E27/E$25+F27/F$25)*B$25</f>
        <v>155.310277777778</v>
      </c>
      <c r="C27" s="25" cm="1">
        <f t="array" ref="C27">SUM(C$3:C$18*'ValueTransfer'!$C$3:$C$18)</f>
        <v>128.2</v>
      </c>
      <c r="D27" s="39" cm="1">
        <f t="array" ref="D27">SUM(D$3:D$18*'ValueTransfer'!$C$3:$C$18)</f>
        <v>15</v>
      </c>
      <c r="E27" s="25" cm="1">
        <f t="array" ref="E27">SUM(E$3:E$18*'ValueTransfer'!$C$3:$C$18)</f>
        <v>25</v>
      </c>
      <c r="F27" s="25" cm="1">
        <f t="array" ref="F27">SUM(F$3:F$18*'ValueTransfer'!$C$3:$C$18)</f>
        <v>126.616666666667</v>
      </c>
    </row>
    <row r="28" ht="20.05" customHeight="1">
      <c r="A28" t="s" s="23">
        <v>39</v>
      </c>
      <c r="B28" s="36" cm="1">
        <f t="array" ref="B28">(C28/C$25+E28/E$25+F28/F$25)*B$25</f>
        <v>107.853611111111</v>
      </c>
      <c r="C28" s="25" cm="1">
        <f t="array" ref="C28">SUM(C$3:C$18*'ValueTransfer'!$D$3:$D$18)</f>
        <v>96.5</v>
      </c>
      <c r="D28" s="37" cm="1">
        <f t="array" ref="D28">SUM(D$3:D$18*'ValueTransfer'!$D$3:$D$18)</f>
        <v>5</v>
      </c>
      <c r="E28" s="25" cm="1">
        <f t="array" ref="E28">SUM(E$3:E$18*'ValueTransfer'!$D$3:$D$18)</f>
        <v>10</v>
      </c>
      <c r="F28" s="25" cm="1">
        <f t="array" ref="F28">SUM(F$3:F$18*'ValueTransfer'!$D$3:$D$18)</f>
        <v>81.2166666666667</v>
      </c>
    </row>
    <row r="29" ht="20.05" customHeight="1">
      <c r="A29" t="s" s="23">
        <v>40</v>
      </c>
      <c r="B29" s="38" cm="1">
        <f t="array" ref="B29">(C29/C$25+E29/E$25+F29/F$25)*B$25</f>
        <v>10.1319444444444</v>
      </c>
      <c r="C29" s="25" cm="1">
        <f t="array" ref="C29">SUM(C$3:C$18*'ValueTransfer'!$E$3:$E$18)</f>
        <v>0</v>
      </c>
      <c r="D29" s="39" cm="1">
        <f t="array" ref="D29">SUM(D$3:D$18*'ValueTransfer'!$E$3:$E$18)</f>
        <v>0</v>
      </c>
      <c r="E29" s="25" cm="1">
        <f t="array" ref="E29">SUM(E$3:E$18*'ValueTransfer'!$E$3:$E$18)</f>
        <v>10</v>
      </c>
      <c r="F29" s="25" cm="1">
        <f t="array" ref="F29">SUM(F$3:F$18*'ValueTransfer'!$E$3:$E$18)</f>
        <v>7.91666666666667</v>
      </c>
    </row>
    <row r="30" ht="20.05" customHeight="1">
      <c r="A30" s="11"/>
      <c r="B30" s="24"/>
      <c r="C30" s="25"/>
      <c r="D30" s="25"/>
      <c r="E30" s="25"/>
      <c r="F30" s="25"/>
    </row>
    <row r="31" ht="20.05" customHeight="1">
      <c r="A31" t="s" s="23">
        <v>41</v>
      </c>
      <c r="B31" s="24" cm="1">
        <f t="array" ref="B31">C31+E31+F31</f>
        <v>770.378055555556</v>
      </c>
      <c r="C31" s="25" cm="1">
        <f t="array" ref="C31">SUM(C$3:C$18*'ValueTransfer'!$B$3:$B$18)/C$25</f>
        <v>676.2</v>
      </c>
      <c r="D31" s="25" cm="1">
        <f t="array" ref="D31">SUM(D$3:D$18*'ValueTransfer'!$B$3:$B$18)/D$25</f>
        <v>20</v>
      </c>
      <c r="E31" s="25"/>
      <c r="F31" s="25" cm="1">
        <f t="array" ref="F31">SUM(F$3:F$18*'ValueTransfer'!$B$3:$B$18)/F$25</f>
        <v>94.1780555555556</v>
      </c>
    </row>
    <row r="32" ht="20.05" customHeight="1">
      <c r="A32" t="s" s="23">
        <v>42</v>
      </c>
      <c r="B32" s="24" cm="1">
        <f t="array" ref="B32">C32+E32+F32</f>
        <v>130.310277777778</v>
      </c>
      <c r="C32" s="25" cm="1">
        <f t="array" ref="C32">SUM(C$3:C$18*'ValueTransfer'!$C$3:$C$18)/C$25</f>
        <v>128.2</v>
      </c>
      <c r="D32" s="25" cm="1">
        <f t="array" ref="D32">SUM(D$3:D$18*'ValueTransfer'!$C$3:$C$18)/D$25</f>
        <v>15</v>
      </c>
      <c r="E32" s="25"/>
      <c r="F32" s="25" cm="1">
        <f t="array" ref="F32">SUM(F$3:F$18*'ValueTransfer'!$C$3:$C$18)/F$25</f>
        <v>2.11027777777778</v>
      </c>
    </row>
    <row r="33" ht="20.05" customHeight="1">
      <c r="A33" t="s" s="23">
        <v>43</v>
      </c>
      <c r="B33" s="24" cm="1">
        <f t="array" ref="B33">C33+E33+F33</f>
        <v>97.85361111111111</v>
      </c>
      <c r="C33" s="25" cm="1">
        <f t="array" ref="C33">SUM(C$3:C$18*'ValueTransfer'!$D$3:$D$18)/C$25</f>
        <v>96.5</v>
      </c>
      <c r="D33" s="25" cm="1">
        <f t="array" ref="D33">SUM(D$3:D$18*'ValueTransfer'!$D$3:$D$18)/D$25</f>
        <v>5</v>
      </c>
      <c r="E33" s="25"/>
      <c r="F33" s="25" cm="1">
        <f t="array" ref="F33">SUM(F$3:F$18*'ValueTransfer'!$D$3:$D$18)/F$25</f>
        <v>1.35361111111111</v>
      </c>
    </row>
    <row r="34" ht="20.05" customHeight="1">
      <c r="A34" t="s" s="23">
        <v>44</v>
      </c>
      <c r="B34" s="24" cm="1">
        <f t="array" ref="B34">C34+E34+F34</f>
        <v>0.131944444444445</v>
      </c>
      <c r="C34" s="25" cm="1">
        <f t="array" ref="C34">SUM(C$3:C$18*'ValueTransfer'!$E$3:$E$18)/C$25</f>
        <v>0</v>
      </c>
      <c r="D34" s="25" cm="1">
        <f t="array" ref="D34">SUM(D$3:D$18*'ValueTransfer'!$E$3:$E$18)/D$25</f>
        <v>0</v>
      </c>
      <c r="E34" s="25"/>
      <c r="F34" s="25" cm="1">
        <f t="array" ref="F34">SUM(F$3:F$18*'ValueTransfer'!$E$3:$E$18)/F$25</f>
        <v>0.131944444444445</v>
      </c>
    </row>
    <row r="35" ht="20.05" customHeight="1">
      <c r="A35" s="11"/>
      <c r="B35" s="24"/>
      <c r="C35" s="25"/>
      <c r="D35" s="13"/>
      <c r="E35" s="13"/>
      <c r="F35" s="13"/>
    </row>
    <row r="36" ht="56.05" customHeight="1">
      <c r="A36" t="s" s="23">
        <v>45</v>
      </c>
      <c r="B36" s="24"/>
      <c r="C36" s="25"/>
      <c r="D36" s="13"/>
      <c r="E36" s="13"/>
      <c r="F36" t="s" s="32">
        <v>46</v>
      </c>
    </row>
    <row r="37" ht="20.05" customHeight="1">
      <c r="A37" s="11"/>
      <c r="B37" s="24"/>
      <c r="C37" s="25"/>
      <c r="D37" s="13"/>
      <c r="E37" s="13"/>
      <c r="F37" s="13"/>
    </row>
    <row r="38" ht="20.05" customHeight="1">
      <c r="A38" s="11"/>
      <c r="B38" s="24"/>
      <c r="C38" s="25"/>
      <c r="D38" s="13"/>
      <c r="E38" s="13"/>
      <c r="F38" s="13"/>
    </row>
    <row r="39" ht="20.05" customHeight="1">
      <c r="A39" s="11"/>
      <c r="B39" s="24"/>
      <c r="C39" s="25"/>
      <c r="D39" s="13"/>
      <c r="E39" s="13"/>
      <c r="F39" s="13"/>
    </row>
  </sheetData>
  <mergeCells count="1">
    <mergeCell ref="A1:F1"/>
  </mergeCells>
  <hyperlinks>
    <hyperlink ref="F36" r:id="rId1" location="" tooltip="" display="https://brawlstars.fandom.com/wiki/Daily_Streak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40" customWidth="1"/>
    <col min="2" max="7" width="16.3516" style="40" customWidth="1"/>
    <col min="8" max="16384" width="16.3516" style="40" customWidth="1"/>
  </cols>
  <sheetData>
    <row r="1" ht="27.65" customHeight="1">
      <c r="A1" t="s" s="2">
        <v>47</v>
      </c>
      <c r="B1" s="2"/>
      <c r="C1" s="2"/>
      <c r="D1" s="2"/>
      <c r="E1" s="2"/>
      <c r="F1" s="2"/>
      <c r="G1" s="2"/>
    </row>
    <row r="2" ht="20.25" customHeight="1">
      <c r="A2" t="s" s="3">
        <v>48</v>
      </c>
      <c r="B2" t="s" s="6">
        <v>49</v>
      </c>
      <c r="C2" t="s" s="6">
        <v>50</v>
      </c>
      <c r="D2" t="s" s="6">
        <v>51</v>
      </c>
      <c r="E2" t="s" s="5">
        <v>52</v>
      </c>
      <c r="F2" s="41"/>
      <c r="G2" s="41"/>
    </row>
    <row r="3" ht="20.25" customHeight="1">
      <c r="A3" t="s" s="20">
        <v>12</v>
      </c>
      <c r="B3" s="42" cm="1">
        <f t="array" ref="B3">12500+500</f>
        <v>13000</v>
      </c>
      <c r="C3" s="43" cm="1">
        <f t="array" ref="C3">9500+500+B3</f>
        <v>23000</v>
      </c>
      <c r="D3" s="43" cm="1">
        <f t="array" ref="D3">12500+500+B3</f>
        <v>26000</v>
      </c>
      <c r="E3" s="43">
        <v>50</v>
      </c>
      <c r="F3" s="10"/>
      <c r="G3" s="10"/>
    </row>
    <row r="4" ht="20.05" customHeight="1">
      <c r="A4" t="s" s="23">
        <v>13</v>
      </c>
      <c r="B4" s="44" cm="1">
        <f t="array" ref="B4">3600+1000</f>
        <v>4600</v>
      </c>
      <c r="C4" s="31" cm="1">
        <f t="array" ref="C4">2500+1000+B4</f>
        <v>8100</v>
      </c>
      <c r="D4" s="31" cm="1">
        <f t="array" ref="D4">4000+1000+B4</f>
        <v>9600</v>
      </c>
      <c r="E4" s="31">
        <v>20</v>
      </c>
      <c r="F4" s="13"/>
      <c r="G4" s="13"/>
    </row>
    <row r="5" ht="20.05" customHeight="1">
      <c r="A5" t="s" s="23">
        <v>14</v>
      </c>
      <c r="B5" s="44">
        <v>1400</v>
      </c>
      <c r="C5" s="31" cm="1">
        <f t="array" ref="C5">2500+B5</f>
        <v>3900</v>
      </c>
      <c r="D5" s="31" cm="1">
        <f t="array" ref="D5">2500+B5</f>
        <v>3900</v>
      </c>
      <c r="E5" s="31">
        <v>20</v>
      </c>
      <c r="F5" s="13"/>
      <c r="G5" s="13"/>
    </row>
    <row r="6" ht="20.05" customHeight="1">
      <c r="A6" t="s" s="23">
        <v>15</v>
      </c>
      <c r="B6" s="44">
        <v>200</v>
      </c>
      <c r="C6" s="31" cm="1">
        <f t="array" ref="C6">3200+B6</f>
        <v>3400</v>
      </c>
      <c r="D6" s="31" cm="1">
        <f t="array" ref="D6">4700+B6</f>
        <v>4900</v>
      </c>
      <c r="E6" s="31">
        <v>20</v>
      </c>
      <c r="F6" s="13"/>
      <c r="G6" s="13"/>
    </row>
    <row r="7" ht="20.05" customHeight="1">
      <c r="A7" t="s" s="23">
        <v>6</v>
      </c>
      <c r="B7" s="45" cm="1">
        <f t="array" ref="B7">50+30</f>
        <v>80</v>
      </c>
      <c r="C7" s="46" cm="1">
        <f t="array" ref="C7">50+B7</f>
        <v>130</v>
      </c>
      <c r="D7" s="46" cm="1">
        <f t="array" ref="D7">150+B7</f>
        <v>230</v>
      </c>
      <c r="E7" s="46">
        <v>0</v>
      </c>
      <c r="F7" s="13"/>
      <c r="G7" s="13"/>
    </row>
    <row r="8" ht="20.05" customHeight="1">
      <c r="A8" t="s" s="23">
        <v>23</v>
      </c>
      <c r="B8" s="47">
        <v>0</v>
      </c>
      <c r="C8" s="48">
        <v>1</v>
      </c>
      <c r="D8" s="48">
        <v>2</v>
      </c>
      <c r="E8" s="31">
        <v>0</v>
      </c>
      <c r="F8" s="13"/>
      <c r="G8" s="13"/>
    </row>
    <row r="9" ht="20.05" customHeight="1">
      <c r="A9" t="s" s="23">
        <v>24</v>
      </c>
      <c r="B9" s="49">
        <v>1</v>
      </c>
      <c r="C9" s="50">
        <v>2</v>
      </c>
      <c r="D9" s="50">
        <v>3</v>
      </c>
      <c r="E9" s="31">
        <v>0</v>
      </c>
      <c r="F9" s="13"/>
      <c r="G9" s="13"/>
    </row>
    <row r="10" ht="20.05" customHeight="1">
      <c r="A10" t="s" s="23">
        <v>25</v>
      </c>
      <c r="B10" s="47">
        <v>1</v>
      </c>
      <c r="C10" s="48" cm="1">
        <f t="array" ref="C10">0+B10</f>
        <v>1</v>
      </c>
      <c r="D10" s="48" cm="1">
        <f t="array" ref="D10">1+B10</f>
        <v>2</v>
      </c>
      <c r="E10" s="31">
        <v>0</v>
      </c>
      <c r="F10" s="13"/>
      <c r="G10" s="13"/>
    </row>
    <row r="11" ht="20.05" customHeight="1">
      <c r="A11" t="s" s="23">
        <v>26</v>
      </c>
      <c r="B11" s="44" cm="1">
        <f t="array" ref="B11">18+8</f>
        <v>26</v>
      </c>
      <c r="C11" s="31" cm="1">
        <f t="array" ref="C11">B11</f>
        <v>26</v>
      </c>
      <c r="D11" s="31" cm="1">
        <f t="array" ref="D11">B11</f>
        <v>26</v>
      </c>
      <c r="E11" s="31">
        <v>0</v>
      </c>
      <c r="F11" s="13"/>
      <c r="G11" s="13"/>
    </row>
    <row r="12" ht="20.05" customHeight="1">
      <c r="A12" t="s" s="23">
        <v>27</v>
      </c>
      <c r="B12" s="44">
        <v>0</v>
      </c>
      <c r="C12" s="31" cm="1">
        <f t="array" ref="C12">B12</f>
        <v>0</v>
      </c>
      <c r="D12" s="31" cm="1">
        <f t="array" ref="D12">B12</f>
        <v>0</v>
      </c>
      <c r="E12" s="31">
        <v>0</v>
      </c>
      <c r="F12" s="13"/>
      <c r="G12" s="13"/>
    </row>
    <row r="13" ht="20.05" customHeight="1">
      <c r="A13" t="s" s="23">
        <v>28</v>
      </c>
      <c r="B13" s="44">
        <v>0</v>
      </c>
      <c r="C13" s="31" cm="1">
        <f t="array" ref="C13">B13</f>
        <v>0</v>
      </c>
      <c r="D13" s="31" cm="1">
        <f t="array" ref="D13">B13</f>
        <v>0</v>
      </c>
      <c r="E13" s="31">
        <v>0</v>
      </c>
      <c r="F13" s="13"/>
      <c r="G13" s="13"/>
    </row>
    <row r="14" ht="20.05" customHeight="1">
      <c r="A14" t="s" s="23">
        <v>29</v>
      </c>
      <c r="B14" s="44">
        <v>1</v>
      </c>
      <c r="C14" s="31" cm="1">
        <f t="array" ref="C14">B14</f>
        <v>1</v>
      </c>
      <c r="D14" s="31" cm="1">
        <f t="array" ref="D14">B14</f>
        <v>1</v>
      </c>
      <c r="E14" s="31">
        <v>0</v>
      </c>
      <c r="F14" s="13"/>
      <c r="G14" s="13"/>
    </row>
    <row r="15" ht="20.05" customHeight="1">
      <c r="A15" t="s" s="23">
        <v>30</v>
      </c>
      <c r="B15" s="44">
        <v>6</v>
      </c>
      <c r="C15" s="31" cm="1">
        <f t="array" ref="C15">B15+3</f>
        <v>9</v>
      </c>
      <c r="D15" s="31" cm="1">
        <f t="array" ref="D15">B15+3</f>
        <v>9</v>
      </c>
      <c r="E15" s="31">
        <v>0</v>
      </c>
      <c r="F15" s="13"/>
      <c r="G15" s="13"/>
    </row>
    <row r="16" ht="20.05" customHeight="1">
      <c r="A16" t="s" s="23">
        <v>31</v>
      </c>
      <c r="B16" s="44">
        <v>0</v>
      </c>
      <c r="C16" s="31" cm="1">
        <f t="array" ref="C16">B16</f>
        <v>0</v>
      </c>
      <c r="D16" s="31" cm="1">
        <f t="array" ref="D16">B16</f>
        <v>0</v>
      </c>
      <c r="E16" s="31">
        <v>0</v>
      </c>
      <c r="F16" s="13"/>
      <c r="G16" s="13"/>
    </row>
    <row r="17" ht="20.05" customHeight="1">
      <c r="A17" t="s" s="23">
        <v>32</v>
      </c>
      <c r="B17" s="44">
        <v>0</v>
      </c>
      <c r="C17" s="31" cm="1">
        <f t="array" ref="C17">B17</f>
        <v>0</v>
      </c>
      <c r="D17" s="31" cm="1">
        <f t="array" ref="D17">B17</f>
        <v>0</v>
      </c>
      <c r="E17" s="31">
        <v>0</v>
      </c>
      <c r="F17" s="13"/>
      <c r="G17" s="13"/>
    </row>
    <row r="18" ht="20.05" customHeight="1">
      <c r="A18" t="s" s="23">
        <v>53</v>
      </c>
      <c r="B18" s="51" cm="1">
        <f t="array" ref="B18">16500+(400+1000)*B25</f>
        <v>59083.3333333334</v>
      </c>
      <c r="C18" s="30" cm="1">
        <f t="array" ref="C18">$B18+7500+(200+500)*C25</f>
        <v>87875.0000000001</v>
      </c>
      <c r="D18" s="30" cm="1">
        <f t="array" ref="D18">$B18+7500+(200+500)*D25</f>
        <v>87875.0000000001</v>
      </c>
      <c r="E18" s="31">
        <v>0</v>
      </c>
      <c r="F18" s="13"/>
      <c r="G18" s="13"/>
    </row>
    <row r="19" ht="20.05" customHeight="1">
      <c r="A19" t="s" s="23">
        <v>54</v>
      </c>
      <c r="B19" s="44" cm="1">
        <f t="array" ref="B19">2+2</f>
        <v>4</v>
      </c>
      <c r="C19" s="31" cm="1">
        <f t="array" ref="C19">0+B19</f>
        <v>4</v>
      </c>
      <c r="D19" s="31" cm="1">
        <f t="array" ref="D19">0+B19</f>
        <v>4</v>
      </c>
      <c r="E19" s="31">
        <v>0</v>
      </c>
      <c r="F19" s="13"/>
      <c r="G19" s="13"/>
    </row>
    <row r="20" ht="20.05" customHeight="1">
      <c r="A20" s="11"/>
      <c r="B20" s="12"/>
      <c r="C20" s="13"/>
      <c r="D20" s="13"/>
      <c r="E20" s="13"/>
      <c r="F20" s="13"/>
      <c r="G20" s="13"/>
    </row>
    <row r="21" ht="20.05" customHeight="1">
      <c r="A21" s="11"/>
      <c r="B21" s="12"/>
      <c r="C21" s="13"/>
      <c r="D21" s="13"/>
      <c r="E21" s="13"/>
      <c r="F21" s="13"/>
      <c r="G21" s="13"/>
    </row>
    <row r="22" ht="20.05" customHeight="1">
      <c r="A22" s="11"/>
      <c r="B22" s="12"/>
      <c r="C22" s="13"/>
      <c r="D22" s="13"/>
      <c r="E22" s="13"/>
      <c r="F22" s="13"/>
      <c r="G22" s="13"/>
    </row>
    <row r="23" ht="20.05" customHeight="1">
      <c r="A23" t="s" s="23">
        <v>33</v>
      </c>
      <c r="B23" s="44">
        <v>12</v>
      </c>
      <c r="C23" s="31">
        <v>12</v>
      </c>
      <c r="D23" s="31">
        <v>12</v>
      </c>
      <c r="E23" s="13"/>
      <c r="F23" s="13"/>
      <c r="G23" s="13"/>
    </row>
    <row r="24" ht="20.05" customHeight="1">
      <c r="A24" t="s" s="23">
        <v>10</v>
      </c>
      <c r="B24" s="52">
        <v>0</v>
      </c>
      <c r="C24" s="53">
        <v>6.49</v>
      </c>
      <c r="D24" s="53">
        <v>9.99</v>
      </c>
      <c r="E24" s="33">
        <v>0</v>
      </c>
      <c r="F24" s="13"/>
      <c r="G24" s="13"/>
    </row>
    <row r="25" ht="20.05" customHeight="1">
      <c r="A25" t="s" s="23">
        <v>55</v>
      </c>
      <c r="B25" s="54" cm="1">
        <f t="array" ref="B25">365/12</f>
        <v>30.4166666666667</v>
      </c>
      <c r="C25" s="55" cm="1">
        <f t="array" ref="C25">365/12</f>
        <v>30.4166666666667</v>
      </c>
      <c r="D25" s="55" cm="1">
        <f t="array" ref="D25">365/12</f>
        <v>30.4166666666667</v>
      </c>
      <c r="E25" s="55" cm="1">
        <f t="array" ref="E25">365/12</f>
        <v>30.4166666666667</v>
      </c>
      <c r="F25" s="13"/>
      <c r="G25" s="13"/>
    </row>
    <row r="26" ht="20.05" customHeight="1">
      <c r="A26" t="s" s="23">
        <v>37</v>
      </c>
      <c r="B26" s="36" cm="1">
        <f t="array" ref="B26">SUM(B$3:B$18*'ValueTransfer'!$B$3:$B$18)</f>
        <v>17846</v>
      </c>
      <c r="C26" s="37" cm="1">
        <f t="array" ref="C26">SUM(C$3:C$18*'ValueTransfer'!$B$3:$B$18)</f>
        <v>28818.6</v>
      </c>
      <c r="D26" s="37" cm="1">
        <f t="array" ref="D26">SUM(D$3:D$18*'ValueTransfer'!$B$3:$B$18)</f>
        <v>32818.6</v>
      </c>
      <c r="E26" s="37" cm="1">
        <f t="array" ref="E26">SUM(E$3:E$18*'ValueTransfer'!$B$3:$B$18)</f>
        <v>50</v>
      </c>
      <c r="F26" s="13"/>
      <c r="G26" s="13"/>
    </row>
    <row r="27" ht="20.05" customHeight="1">
      <c r="A27" t="s" s="23">
        <v>38</v>
      </c>
      <c r="B27" s="38" cm="1">
        <f t="array" ref="B27">SUM(B$3:B$18*'ValueTransfer'!$C$3:$C$18)</f>
        <v>9327.799999999999</v>
      </c>
      <c r="C27" s="39" cm="1">
        <f t="array" ref="C27">SUM(C$3:C$18*'ValueTransfer'!$C$3:$C$18)</f>
        <v>15005.4</v>
      </c>
      <c r="D27" s="39" cm="1">
        <f t="array" ref="D27">SUM(D$3:D$18*'ValueTransfer'!$C$3:$C$18)</f>
        <v>20505.4</v>
      </c>
      <c r="E27" s="39" cm="1">
        <f t="array" ref="E27">SUM(E$3:E$18*'ValueTransfer'!$C$3:$C$18)</f>
        <v>20</v>
      </c>
      <c r="F27" s="13"/>
      <c r="G27" s="13"/>
    </row>
    <row r="28" ht="20.05" customHeight="1">
      <c r="A28" t="s" s="23">
        <v>39</v>
      </c>
      <c r="B28" s="36" cm="1">
        <f t="array" ref="B28">SUM(B$3:B$18*'ValueTransfer'!$D$3:$D$18)</f>
        <v>1952.9</v>
      </c>
      <c r="C28" s="37" cm="1">
        <f t="array" ref="C28">SUM(C$3:C$18*'ValueTransfer'!$D$3:$D$18)</f>
        <v>5561.9</v>
      </c>
      <c r="D28" s="37" cm="1">
        <f t="array" ref="D28">SUM(D$3:D$18*'ValueTransfer'!$D$3:$D$18)</f>
        <v>6511.9</v>
      </c>
      <c r="E28" s="37" cm="1">
        <f t="array" ref="E28">SUM(E$3:E$18*'ValueTransfer'!$D$3:$D$18)</f>
        <v>20</v>
      </c>
      <c r="F28" s="13"/>
      <c r="G28" s="13"/>
    </row>
    <row r="29" ht="20.05" customHeight="1">
      <c r="A29" t="s" s="23">
        <v>40</v>
      </c>
      <c r="B29" s="38" cm="1">
        <f t="array" ref="B29">SUM(B$3:B$18*'ValueTransfer'!$E$3:$E$18)</f>
        <v>200</v>
      </c>
      <c r="C29" s="39" cm="1">
        <f t="array" ref="C29">SUM(C$3:C$18*'ValueTransfer'!$E$3:$E$18)</f>
        <v>3400</v>
      </c>
      <c r="D29" s="39" cm="1">
        <f t="array" ref="D29">SUM(D$3:D$18*'ValueTransfer'!$E$3:$E$18)</f>
        <v>4900</v>
      </c>
      <c r="E29" s="39" cm="1">
        <f t="array" ref="E29">SUM(E$3:E$18*'ValueTransfer'!$E$3:$E$18)</f>
        <v>20</v>
      </c>
      <c r="F29" s="13"/>
      <c r="G29" s="13"/>
    </row>
    <row r="30" ht="20.05" customHeight="1">
      <c r="A30" s="11"/>
      <c r="B30" s="24"/>
      <c r="C30" s="25"/>
      <c r="D30" s="25"/>
      <c r="E30" s="25"/>
      <c r="F30" s="13"/>
      <c r="G30" s="13"/>
    </row>
    <row r="31" ht="20.05" customHeight="1">
      <c r="A31" t="s" s="23">
        <v>41</v>
      </c>
      <c r="B31" s="24" cm="1">
        <f t="array" ref="B31">SUM(B$3:B$18*'ValueTransfer'!$B$3:$B$18)/B$25</f>
        <v>586.717808219177</v>
      </c>
      <c r="C31" s="25" cm="1">
        <f t="array" ref="C31">SUM(C$3:C$18*'ValueTransfer'!$B$3:$B$18)/C$25</f>
        <v>947.460821917807</v>
      </c>
      <c r="D31" s="25" cm="1">
        <f t="array" ref="D31">SUM(D$3:D$18*'ValueTransfer'!$B$3:$B$18)/D$25</f>
        <v>1078.967671232880</v>
      </c>
      <c r="E31" s="25" cm="1">
        <f t="array" ref="E31">SUM(E$3:E$18*'ValueTransfer'!$B$3:$B$18)/E$25</f>
        <v>1.64383561643835</v>
      </c>
      <c r="F31" s="13"/>
      <c r="G31" s="13"/>
    </row>
    <row r="32" ht="20.05" customHeight="1">
      <c r="A32" t="s" s="23">
        <v>42</v>
      </c>
      <c r="B32" s="24" cm="1">
        <f t="array" ref="B32">SUM(B$3:B$18*'ValueTransfer'!$C$3:$C$18)/B$25</f>
        <v>306.667397260274</v>
      </c>
      <c r="C32" s="25" cm="1">
        <f t="array" ref="C32">SUM(C$3:C$18*'ValueTransfer'!$C$3:$C$18)/C$25</f>
        <v>493.328219178082</v>
      </c>
      <c r="D32" s="25" cm="1">
        <f t="array" ref="D32">SUM(D$3:D$18*'ValueTransfer'!$C$3:$C$18)/D$25</f>
        <v>674.150136986301</v>
      </c>
      <c r="E32" s="25" cm="1">
        <f t="array" ref="E32">SUM(E$3:E$18*'ValueTransfer'!$C$3:$C$18)/E$25</f>
        <v>0.657534246575342</v>
      </c>
      <c r="F32" s="13"/>
      <c r="G32" s="13"/>
    </row>
    <row r="33" ht="20.05" customHeight="1">
      <c r="A33" t="s" s="23">
        <v>43</v>
      </c>
      <c r="B33" s="24" cm="1">
        <f t="array" ref="B33">SUM(B$3:B$18*'ValueTransfer'!$D$3:$D$18)/B$25</f>
        <v>64.20493150684921</v>
      </c>
      <c r="C33" s="25" cm="1">
        <f t="array" ref="C33">SUM(C$3:C$18*'ValueTransfer'!$D$3:$D$18)/C$25</f>
        <v>182.856986301370</v>
      </c>
      <c r="D33" s="25" cm="1">
        <f t="array" ref="D33">SUM(D$3:D$18*'ValueTransfer'!$D$3:$D$18)/D$25</f>
        <v>214.089863013698</v>
      </c>
      <c r="E33" s="25" cm="1">
        <f t="array" ref="E33">SUM(E$3:E$18*'ValueTransfer'!$D$3:$D$18)/E$25</f>
        <v>0.657534246575342</v>
      </c>
      <c r="F33" s="13"/>
      <c r="G33" s="13"/>
    </row>
    <row r="34" ht="20.05" customHeight="1">
      <c r="A34" t="s" s="23">
        <v>44</v>
      </c>
      <c r="B34" s="24" cm="1">
        <f t="array" ref="B34">SUM(B$3:B$18*'ValueTransfer'!$E$3:$E$18)/B$25</f>
        <v>6.57534246575342</v>
      </c>
      <c r="C34" s="25" cm="1">
        <f t="array" ref="C34">SUM(C$3:C$18*'ValueTransfer'!$E$3:$E$18)/C$25</f>
        <v>111.780821917808</v>
      </c>
      <c r="D34" s="25" cm="1">
        <f t="array" ref="D34">SUM(D$3:D$18*'ValueTransfer'!$E$3:$E$18)/D$25</f>
        <v>161.095890410959</v>
      </c>
      <c r="E34" s="25" cm="1">
        <f t="array" ref="E34">SUM(E$3:E$18*'ValueTransfer'!$E$3:$E$18)/E$25</f>
        <v>0.657534246575342</v>
      </c>
      <c r="F34" s="13"/>
      <c r="G34" s="13"/>
    </row>
    <row r="35" ht="20.05" customHeight="1">
      <c r="A35" s="11"/>
      <c r="B35" s="24"/>
      <c r="C35" s="25"/>
      <c r="D35" s="25"/>
      <c r="E35" s="25"/>
      <c r="F35" s="13"/>
      <c r="G35" s="13"/>
    </row>
    <row r="36" ht="32.05" customHeight="1">
      <c r="A36" t="s" s="23">
        <v>45</v>
      </c>
      <c r="B36" t="s" s="56">
        <v>56</v>
      </c>
      <c r="C36" t="s" s="32">
        <v>56</v>
      </c>
      <c r="D36" t="s" s="32">
        <v>56</v>
      </c>
      <c r="E36" t="s" s="32">
        <v>57</v>
      </c>
      <c r="F36" s="13"/>
      <c r="G36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57" customWidth="1"/>
    <col min="2" max="5" width="16.3516" style="57" customWidth="1"/>
    <col min="6" max="16384" width="16.3516" style="57" customWidth="1"/>
  </cols>
  <sheetData>
    <row r="1" ht="27.65" customHeight="1">
      <c r="A1" t="s" s="2">
        <v>58</v>
      </c>
      <c r="B1" s="2"/>
      <c r="C1" s="2"/>
      <c r="D1" s="2"/>
      <c r="E1" s="2"/>
    </row>
    <row r="2" ht="20.25" customHeight="1">
      <c r="A2" t="s" s="3">
        <v>59</v>
      </c>
      <c r="B2" t="s" s="6">
        <v>49</v>
      </c>
      <c r="C2" t="s" s="6">
        <v>60</v>
      </c>
      <c r="D2" t="s" s="5">
        <v>61</v>
      </c>
      <c r="E2" s="41"/>
    </row>
    <row r="3" ht="20.25" customHeight="1">
      <c r="A3" t="s" s="20">
        <v>12</v>
      </c>
      <c r="B3" s="42">
        <v>0</v>
      </c>
      <c r="C3" s="43" cm="1">
        <f t="array" ref="C3">10000+B3</f>
        <v>10000</v>
      </c>
      <c r="D3" s="43">
        <v>0</v>
      </c>
      <c r="E3" s="10"/>
    </row>
    <row r="4" ht="20.05" customHeight="1">
      <c r="A4" t="s" s="23">
        <v>13</v>
      </c>
      <c r="B4" s="44">
        <v>0</v>
      </c>
      <c r="C4" s="31" cm="1">
        <f t="array" ref="C4">0+B4</f>
        <v>0</v>
      </c>
      <c r="D4" s="31">
        <v>0</v>
      </c>
      <c r="E4" s="13"/>
    </row>
    <row r="5" ht="20.05" customHeight="1">
      <c r="A5" t="s" s="23">
        <v>14</v>
      </c>
      <c r="B5" s="44">
        <v>0</v>
      </c>
      <c r="C5" s="31" cm="1">
        <f t="array" ref="C5">0+B5</f>
        <v>0</v>
      </c>
      <c r="D5" s="31">
        <v>0</v>
      </c>
      <c r="E5" s="13"/>
    </row>
    <row r="6" ht="20.05" customHeight="1">
      <c r="A6" t="s" s="23">
        <v>15</v>
      </c>
      <c r="B6" s="44">
        <v>0</v>
      </c>
      <c r="C6" s="31" cm="1">
        <f t="array" ref="C6">0+B6</f>
        <v>0</v>
      </c>
      <c r="D6" s="31">
        <v>0</v>
      </c>
      <c r="E6" s="13"/>
    </row>
    <row r="7" ht="20.05" customHeight="1">
      <c r="A7" t="s" s="23">
        <v>6</v>
      </c>
      <c r="B7" s="45">
        <v>50</v>
      </c>
      <c r="C7" s="46" cm="1">
        <f t="array" ref="C7">600+B7</f>
        <v>650</v>
      </c>
      <c r="D7" s="46">
        <v>0</v>
      </c>
      <c r="E7" s="13"/>
    </row>
    <row r="8" ht="20.05" customHeight="1">
      <c r="A8" t="s" s="23">
        <v>23</v>
      </c>
      <c r="B8" s="44">
        <v>0</v>
      </c>
      <c r="C8" s="31" cm="1">
        <f t="array" ref="C8">0+B8</f>
        <v>0</v>
      </c>
      <c r="D8" s="31">
        <v>0</v>
      </c>
      <c r="E8" s="13"/>
    </row>
    <row r="9" ht="20.05" customHeight="1">
      <c r="A9" t="s" s="23">
        <v>24</v>
      </c>
      <c r="B9" s="44">
        <v>0</v>
      </c>
      <c r="C9" s="31" cm="1">
        <f t="array" ref="C9">0+B9</f>
        <v>0</v>
      </c>
      <c r="D9" s="31">
        <v>0</v>
      </c>
      <c r="E9" s="13"/>
    </row>
    <row r="10" ht="20.05" customHeight="1">
      <c r="A10" t="s" s="23">
        <v>25</v>
      </c>
      <c r="B10" s="44">
        <v>0</v>
      </c>
      <c r="C10" s="31" cm="1">
        <f t="array" ref="C10">0+B10</f>
        <v>0</v>
      </c>
      <c r="D10" s="31">
        <v>0</v>
      </c>
      <c r="E10" s="13"/>
    </row>
    <row r="11" ht="20.05" customHeight="1">
      <c r="A11" t="s" s="23">
        <v>26</v>
      </c>
      <c r="B11" s="44">
        <v>0</v>
      </c>
      <c r="C11" s="31" cm="1">
        <f t="array" ref="C11">0+B11</f>
        <v>0</v>
      </c>
      <c r="D11" s="31">
        <v>0</v>
      </c>
      <c r="E11" s="13"/>
    </row>
    <row r="12" ht="20.05" customHeight="1">
      <c r="A12" t="s" s="23">
        <v>27</v>
      </c>
      <c r="B12" s="44">
        <v>0</v>
      </c>
      <c r="C12" s="31" cm="1">
        <f t="array" ref="C12">0+B12</f>
        <v>0</v>
      </c>
      <c r="D12" s="31">
        <v>0</v>
      </c>
      <c r="E12" s="13"/>
    </row>
    <row r="13" ht="20.05" customHeight="1">
      <c r="A13" t="s" s="23">
        <v>28</v>
      </c>
      <c r="B13" s="44">
        <v>8</v>
      </c>
      <c r="C13" s="31" cm="1">
        <f t="array" ref="C13">0+B13</f>
        <v>8</v>
      </c>
      <c r="D13" s="31">
        <v>0</v>
      </c>
      <c r="E13" s="13"/>
    </row>
    <row r="14" ht="20.05" customHeight="1">
      <c r="A14" t="s" s="23">
        <v>29</v>
      </c>
      <c r="B14" s="44">
        <v>8</v>
      </c>
      <c r="C14" s="31" cm="1">
        <f t="array" ref="C14">0+B14</f>
        <v>8</v>
      </c>
      <c r="D14" s="31">
        <v>1</v>
      </c>
      <c r="E14" s="13"/>
    </row>
    <row r="15" ht="20.05" customHeight="1">
      <c r="A15" t="s" s="23">
        <v>30</v>
      </c>
      <c r="B15" s="44">
        <v>0</v>
      </c>
      <c r="C15" s="31" cm="1">
        <f t="array" ref="C15">0+B15</f>
        <v>0</v>
      </c>
      <c r="D15" s="31">
        <v>0</v>
      </c>
      <c r="E15" s="13"/>
    </row>
    <row r="16" ht="20.05" customHeight="1">
      <c r="A16" t="s" s="23">
        <v>31</v>
      </c>
      <c r="B16" s="44">
        <v>1</v>
      </c>
      <c r="C16" s="31" cm="1">
        <f t="array" ref="C16">0+B16</f>
        <v>1</v>
      </c>
      <c r="D16" s="31">
        <v>0</v>
      </c>
      <c r="E16" s="13"/>
    </row>
    <row r="17" ht="20.05" customHeight="1">
      <c r="A17" t="s" s="23">
        <v>32</v>
      </c>
      <c r="B17" s="44">
        <v>34</v>
      </c>
      <c r="C17" s="31" cm="1">
        <f t="array" ref="C17">0+B17</f>
        <v>34</v>
      </c>
      <c r="D17" s="31">
        <v>0</v>
      </c>
      <c r="E17" s="13"/>
    </row>
    <row r="18" ht="20.05" customHeight="1">
      <c r="A18" s="11"/>
      <c r="B18" s="12"/>
      <c r="C18" s="13"/>
      <c r="D18" s="13"/>
      <c r="E18" s="13"/>
    </row>
    <row r="19" ht="20.05" customHeight="1">
      <c r="A19" s="11"/>
      <c r="B19" s="12"/>
      <c r="C19" s="13"/>
      <c r="D19" s="13"/>
      <c r="E19" s="13"/>
    </row>
    <row r="20" ht="20.05" customHeight="1">
      <c r="A20" s="11"/>
      <c r="B20" s="12"/>
      <c r="C20" s="13"/>
      <c r="D20" s="13"/>
      <c r="E20" s="13"/>
    </row>
    <row r="21" ht="20.05" customHeight="1">
      <c r="A21" s="11"/>
      <c r="B21" s="12"/>
      <c r="C21" s="13"/>
      <c r="D21" s="13"/>
      <c r="E21" s="13"/>
    </row>
    <row r="22" ht="20.05" customHeight="1">
      <c r="A22" s="11"/>
      <c r="B22" s="12"/>
      <c r="C22" s="13"/>
      <c r="D22" s="13"/>
      <c r="E22" s="13"/>
    </row>
    <row r="23" ht="20.05" customHeight="1">
      <c r="A23" t="s" s="23">
        <v>33</v>
      </c>
      <c r="B23" s="51">
        <v>4</v>
      </c>
      <c r="C23" s="30">
        <v>4</v>
      </c>
      <c r="D23" s="30"/>
      <c r="E23" s="30"/>
    </row>
    <row r="24" ht="20.05" customHeight="1">
      <c r="A24" t="s" s="23">
        <v>10</v>
      </c>
      <c r="B24" s="52">
        <v>0</v>
      </c>
      <c r="C24" s="58">
        <v>17.99</v>
      </c>
      <c r="D24" s="33">
        <v>0</v>
      </c>
      <c r="E24" s="13"/>
    </row>
    <row r="25" ht="20.05" customHeight="1">
      <c r="A25" t="s" s="23">
        <v>55</v>
      </c>
      <c r="B25" s="54" cm="1">
        <f t="array" ref="B25">365/4</f>
        <v>91.25</v>
      </c>
      <c r="C25" s="55" cm="1">
        <f t="array" ref="C25">365/4</f>
        <v>91.25</v>
      </c>
      <c r="D25" s="55" cm="1">
        <f t="array" ref="D25">365/4</f>
        <v>91.25</v>
      </c>
      <c r="E25" s="30"/>
    </row>
    <row r="26" ht="20.05" customHeight="1">
      <c r="A26" t="s" s="23">
        <v>37</v>
      </c>
      <c r="B26" s="36" cm="1">
        <f t="array" ref="B26">SUM(B$3:B$18*'ValueTransfer'!$B$3:$B$18)</f>
        <v>6126.4</v>
      </c>
      <c r="C26" s="37" cm="1">
        <f t="array" ref="C26">SUM(C$3:C$18*'ValueTransfer'!$B$3:$B$18)</f>
        <v>16126.4</v>
      </c>
      <c r="D26" s="37" cm="1">
        <f t="array" ref="D26">SUM(D$3:D$18*'ValueTransfer'!$B$3:$B$18)</f>
        <v>70.40000000000001</v>
      </c>
      <c r="E26" s="13"/>
    </row>
    <row r="27" ht="20.05" customHeight="1">
      <c r="A27" t="s" s="23">
        <v>38</v>
      </c>
      <c r="B27" s="38" cm="1">
        <f t="array" ref="B27">SUM(B$3:B$18*'ValueTransfer'!$C$3:$C$18)</f>
        <v>220.8</v>
      </c>
      <c r="C27" s="39" cm="1">
        <f t="array" ref="C27">SUM(C$3:C$18*'ValueTransfer'!$C$3:$C$18)</f>
        <v>220.8</v>
      </c>
      <c r="D27" s="39" cm="1">
        <f t="array" ref="D27">SUM(D$3:D$18*'ValueTransfer'!$C$3:$C$18)</f>
        <v>13.8</v>
      </c>
      <c r="E27" s="13"/>
    </row>
    <row r="28" ht="20.05" customHeight="1">
      <c r="A28" t="s" s="23">
        <v>39</v>
      </c>
      <c r="B28" s="36" cm="1">
        <f t="array" ref="B28">SUM(B$3:B$18*'ValueTransfer'!$D$3:$D$18)</f>
        <v>139.2</v>
      </c>
      <c r="C28" s="37" cm="1">
        <f t="array" ref="C28">SUM(C$3:C$18*'ValueTransfer'!$D$3:$D$18)</f>
        <v>139.2</v>
      </c>
      <c r="D28" s="37" cm="1">
        <f t="array" ref="D28">SUM(D$3:D$18*'ValueTransfer'!$D$3:$D$18)</f>
        <v>8.699999999999999</v>
      </c>
      <c r="E28" s="13"/>
    </row>
    <row r="29" ht="20.05" customHeight="1">
      <c r="A29" t="s" s="23">
        <v>40</v>
      </c>
      <c r="B29" s="38" cm="1">
        <f t="array" ref="B29">SUM(B$3:B$18*'ValueTransfer'!$E$3:$E$18)</f>
        <v>3400</v>
      </c>
      <c r="C29" s="39" cm="1">
        <f t="array" ref="C29">SUM(C$3:C$18*'ValueTransfer'!$E$3:$E$18)</f>
        <v>3400</v>
      </c>
      <c r="D29" s="39" cm="1">
        <f t="array" ref="D29">SUM(D$3:D$18*'ValueTransfer'!$E$3:$E$18)</f>
        <v>0</v>
      </c>
      <c r="E29" s="13"/>
    </row>
    <row r="30" ht="20.05" customHeight="1">
      <c r="A30" s="11"/>
      <c r="B30" s="24"/>
      <c r="C30" s="25"/>
      <c r="D30" s="25"/>
      <c r="E30" s="13"/>
    </row>
    <row r="31" ht="20.05" customHeight="1">
      <c r="A31" t="s" s="23">
        <v>41</v>
      </c>
      <c r="B31" s="24" cm="1">
        <f t="array" ref="B31">SUM(B$3:B$18*'ValueTransfer'!$B$3:$B$18)/B$25</f>
        <v>67.13863013698629</v>
      </c>
      <c r="C31" s="25" cm="1">
        <f t="array" ref="C31">SUM(C$3:C$18*'ValueTransfer'!$B$3:$B$18)/C$25</f>
        <v>176.727671232877</v>
      </c>
      <c r="D31" s="25" cm="1">
        <f t="array" ref="D31">SUM(D$3:D$18*'ValueTransfer'!$B$3:$B$18)/D$25</f>
        <v>0.771506849315068</v>
      </c>
      <c r="E31" s="13"/>
    </row>
    <row r="32" ht="20.05" customHeight="1">
      <c r="A32" t="s" s="23">
        <v>42</v>
      </c>
      <c r="B32" s="24" cm="1">
        <f t="array" ref="B32">SUM(B$3:B$18*'ValueTransfer'!$C$3:$C$18)/B$25</f>
        <v>2.41972602739726</v>
      </c>
      <c r="C32" s="25" cm="1">
        <f t="array" ref="C32">SUM(C$3:C$18*'ValueTransfer'!$C$3:$C$18)/C$25</f>
        <v>2.41972602739726</v>
      </c>
      <c r="D32" s="25" cm="1">
        <f t="array" ref="D32">SUM(D$3:D$18*'ValueTransfer'!$C$3:$C$18)/D$25</f>
        <v>0.151232876712329</v>
      </c>
      <c r="E32" s="13"/>
    </row>
    <row r="33" ht="20.05" customHeight="1">
      <c r="A33" t="s" s="23">
        <v>43</v>
      </c>
      <c r="B33" s="24" cm="1">
        <f t="array" ref="B33">SUM(B$3:B$18*'ValueTransfer'!$D$3:$D$18)/B$25</f>
        <v>1.52547945205479</v>
      </c>
      <c r="C33" s="25" cm="1">
        <f t="array" ref="C33">SUM(C$3:C$18*'ValueTransfer'!$D$3:$D$18)/C$25</f>
        <v>1.52547945205479</v>
      </c>
      <c r="D33" s="25" cm="1">
        <f t="array" ref="D33">SUM(D$3:D$18*'ValueTransfer'!$D$3:$D$18)/D$25</f>
        <v>0.0953424657534247</v>
      </c>
      <c r="E33" s="13"/>
    </row>
    <row r="34" ht="20.05" customHeight="1">
      <c r="A34" t="s" s="23">
        <v>44</v>
      </c>
      <c r="B34" s="24" cm="1">
        <f t="array" ref="B34">SUM(B$3:B$18*'ValueTransfer'!$E$3:$E$18)/B$25</f>
        <v>37.2602739726027</v>
      </c>
      <c r="C34" s="25" cm="1">
        <f t="array" ref="C34">SUM(C$3:C$18*'ValueTransfer'!$E$3:$E$18)/C$25</f>
        <v>37.2602739726027</v>
      </c>
      <c r="D34" s="25" cm="1">
        <f t="array" ref="D34">SUM(D$3:D$18*'ValueTransfer'!$E$3:$E$18)/D$25</f>
        <v>0</v>
      </c>
      <c r="E34" s="13"/>
    </row>
    <row r="35" ht="20.05" customHeight="1">
      <c r="A35" s="11"/>
      <c r="B35" s="24"/>
      <c r="C35" s="25"/>
      <c r="D35" s="25"/>
      <c r="E35" s="13"/>
    </row>
    <row r="36" ht="32.05" customHeight="1">
      <c r="A36" t="s" s="23">
        <v>45</v>
      </c>
      <c r="B36" t="s" s="56">
        <v>56</v>
      </c>
      <c r="C36" t="s" s="32">
        <v>56</v>
      </c>
      <c r="D36" t="s" s="32">
        <v>57</v>
      </c>
      <c r="E36" s="13"/>
    </row>
    <row r="37" ht="20.05" customHeight="1">
      <c r="A37" s="11"/>
      <c r="B37" s="24"/>
      <c r="C37" s="25"/>
      <c r="D37" s="25"/>
      <c r="E37" s="13"/>
    </row>
    <row r="38" ht="20.05" customHeight="1">
      <c r="A38" s="11"/>
      <c r="B38" s="24"/>
      <c r="C38" s="25"/>
      <c r="D38" s="25"/>
      <c r="E38" s="13"/>
    </row>
    <row r="39" ht="20.05" customHeight="1">
      <c r="A39" s="11"/>
      <c r="B39" s="24"/>
      <c r="C39" s="25"/>
      <c r="D39" s="25"/>
      <c r="E39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59" customWidth="1"/>
    <col min="2" max="2" width="16.3516" style="59" customWidth="1"/>
    <col min="3" max="4" width="16.6719" style="59" customWidth="1"/>
    <col min="5" max="6" width="14.8516" style="59" customWidth="1"/>
    <col min="7" max="11" width="16.3516" style="59" customWidth="1"/>
    <col min="12" max="16384" width="16.3516" style="59" customWidth="1"/>
  </cols>
  <sheetData>
    <row r="1" ht="27.65" customHeight="1">
      <c r="A1" t="s" s="2">
        <v>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2.25" customHeight="1">
      <c r="A2" t="s" s="3">
        <v>17</v>
      </c>
      <c r="B2" t="s" s="5">
        <v>62</v>
      </c>
      <c r="C2" t="s" s="5">
        <v>63</v>
      </c>
      <c r="D2" t="s" s="4">
        <v>64</v>
      </c>
      <c r="E2" t="s" s="4">
        <v>65</v>
      </c>
      <c r="F2" t="s" s="4">
        <v>66</v>
      </c>
      <c r="G2" t="s" s="5">
        <v>67</v>
      </c>
      <c r="H2" t="s" s="4">
        <v>68</v>
      </c>
      <c r="I2" t="s" s="4">
        <v>69</v>
      </c>
      <c r="J2" t="s" s="4">
        <v>70</v>
      </c>
      <c r="K2" t="s" s="4">
        <v>71</v>
      </c>
    </row>
    <row r="3" ht="20.25" customHeight="1">
      <c r="A3" t="s" s="20">
        <v>12</v>
      </c>
      <c r="B3" s="21">
        <v>510</v>
      </c>
      <c r="C3" s="22"/>
      <c r="D3" s="22">
        <v>1358.72</v>
      </c>
      <c r="E3" s="22"/>
      <c r="F3" s="60">
        <v>2831.84</v>
      </c>
      <c r="G3" s="21"/>
      <c r="H3" s="22">
        <v>1200</v>
      </c>
      <c r="I3" s="22">
        <v>0</v>
      </c>
      <c r="J3" s="22">
        <v>0</v>
      </c>
      <c r="K3" s="22">
        <v>0</v>
      </c>
    </row>
    <row r="4" ht="20.05" customHeight="1">
      <c r="A4" t="s" s="23">
        <v>13</v>
      </c>
      <c r="B4" s="24">
        <v>213</v>
      </c>
      <c r="C4" s="25"/>
      <c r="D4" s="25">
        <v>256</v>
      </c>
      <c r="E4" s="25"/>
      <c r="F4" s="61">
        <v>1490.72</v>
      </c>
      <c r="G4" s="24"/>
      <c r="H4" s="25">
        <v>0</v>
      </c>
      <c r="I4" s="25">
        <v>1200</v>
      </c>
      <c r="J4" s="25">
        <v>0</v>
      </c>
      <c r="K4" s="25">
        <v>0</v>
      </c>
    </row>
    <row r="5" ht="20.05" customHeight="1">
      <c r="A5" t="s" s="23">
        <v>14</v>
      </c>
      <c r="B5" s="24">
        <v>0</v>
      </c>
      <c r="C5" s="25"/>
      <c r="D5" s="25">
        <v>208</v>
      </c>
      <c r="E5" s="25"/>
      <c r="F5" s="61">
        <v>352</v>
      </c>
      <c r="G5" s="24"/>
      <c r="H5" s="25">
        <v>0</v>
      </c>
      <c r="I5" s="25">
        <v>0</v>
      </c>
      <c r="J5" s="25">
        <v>0</v>
      </c>
      <c r="K5" s="25">
        <v>0</v>
      </c>
    </row>
    <row r="6" ht="20.05" customHeight="1">
      <c r="A6" t="s" s="23">
        <v>15</v>
      </c>
      <c r="B6" s="24">
        <v>106</v>
      </c>
      <c r="C6" s="25"/>
      <c r="D6" s="25">
        <v>238.08</v>
      </c>
      <c r="E6" s="25"/>
      <c r="F6" s="61">
        <v>0</v>
      </c>
      <c r="G6" s="24"/>
      <c r="H6" s="25">
        <v>0</v>
      </c>
      <c r="I6" s="25">
        <v>0</v>
      </c>
      <c r="J6" s="25">
        <v>0</v>
      </c>
      <c r="K6" s="25">
        <v>0</v>
      </c>
    </row>
    <row r="7" ht="20.05" customHeight="1">
      <c r="A7" t="s" s="23">
        <v>6</v>
      </c>
      <c r="B7" s="26">
        <v>0</v>
      </c>
      <c r="C7" s="27" cm="1">
        <f t="array" ref="C7">SUM(D7:F7)</f>
        <v>0</v>
      </c>
      <c r="D7" s="25">
        <v>0</v>
      </c>
      <c r="E7" s="25"/>
      <c r="F7" s="61">
        <v>0</v>
      </c>
      <c r="G7" s="26"/>
      <c r="H7" s="25">
        <v>0</v>
      </c>
      <c r="I7" s="25">
        <v>0</v>
      </c>
      <c r="J7" s="25">
        <v>0</v>
      </c>
      <c r="K7" s="25">
        <v>0</v>
      </c>
    </row>
    <row r="8" ht="20.05" customHeight="1">
      <c r="A8" t="s" s="23">
        <v>23</v>
      </c>
      <c r="B8" s="28">
        <v>0</v>
      </c>
      <c r="C8" s="62" cm="1">
        <f t="array" ref="C8">SUM(D8:F8)</f>
        <v>0</v>
      </c>
      <c r="D8" s="25">
        <v>0</v>
      </c>
      <c r="E8" s="25"/>
      <c r="F8" s="61">
        <v>0</v>
      </c>
      <c r="G8" s="28"/>
      <c r="H8" s="25">
        <v>0</v>
      </c>
      <c r="I8" s="25">
        <v>0</v>
      </c>
      <c r="J8" s="25">
        <v>0</v>
      </c>
      <c r="K8" s="25">
        <v>0</v>
      </c>
    </row>
    <row r="9" ht="20.05" customHeight="1">
      <c r="A9" t="s" s="23">
        <v>24</v>
      </c>
      <c r="B9" s="29">
        <v>0</v>
      </c>
      <c r="C9" s="63">
        <v>0</v>
      </c>
      <c r="D9" s="25">
        <v>0</v>
      </c>
      <c r="E9" s="25"/>
      <c r="F9" s="61">
        <v>0</v>
      </c>
      <c r="G9" s="29"/>
      <c r="H9" s="25">
        <v>0</v>
      </c>
      <c r="I9" s="25">
        <v>0</v>
      </c>
      <c r="J9" s="25">
        <v>0</v>
      </c>
      <c r="K9" s="25">
        <v>0</v>
      </c>
    </row>
    <row r="10" ht="20.05" customHeight="1">
      <c r="A10" t="s" s="23">
        <v>72</v>
      </c>
      <c r="B10" s="28">
        <v>0</v>
      </c>
      <c r="C10" s="62" cm="1">
        <f t="array" ref="C10">SUM(D10:F10)</f>
        <v>0</v>
      </c>
      <c r="D10" s="25">
        <v>0</v>
      </c>
      <c r="E10" s="25"/>
      <c r="F10" s="61">
        <v>0</v>
      </c>
      <c r="G10" s="28"/>
      <c r="H10" s="25">
        <v>0</v>
      </c>
      <c r="I10" s="25">
        <v>0</v>
      </c>
      <c r="J10" s="25">
        <v>0</v>
      </c>
      <c r="K10" s="25">
        <v>0</v>
      </c>
    </row>
    <row r="11" ht="20.05" customHeight="1">
      <c r="A11" t="s" s="23">
        <v>26</v>
      </c>
      <c r="B11" s="24">
        <v>20</v>
      </c>
      <c r="C11" s="25"/>
      <c r="D11" s="25">
        <v>0</v>
      </c>
      <c r="E11" s="25"/>
      <c r="F11" s="61">
        <v>0</v>
      </c>
      <c r="G11" s="24"/>
      <c r="H11" s="25">
        <v>0</v>
      </c>
      <c r="I11" s="25">
        <v>0</v>
      </c>
      <c r="J11" s="25">
        <v>9</v>
      </c>
      <c r="K11" s="25">
        <v>0</v>
      </c>
    </row>
    <row r="12" ht="20.05" customHeight="1">
      <c r="A12" t="s" s="23">
        <v>27</v>
      </c>
      <c r="B12" s="24">
        <v>0</v>
      </c>
      <c r="C12" s="25"/>
      <c r="D12" s="25">
        <v>0</v>
      </c>
      <c r="E12" s="25"/>
      <c r="F12" s="61">
        <v>0</v>
      </c>
      <c r="G12" s="24"/>
      <c r="H12" s="25">
        <v>0</v>
      </c>
      <c r="I12" s="25">
        <v>0</v>
      </c>
      <c r="J12" s="25">
        <v>0</v>
      </c>
      <c r="K12" s="25">
        <v>0</v>
      </c>
    </row>
    <row r="13" ht="20.05" customHeight="1">
      <c r="A13" t="s" s="23">
        <v>28</v>
      </c>
      <c r="B13" s="24">
        <v>0</v>
      </c>
      <c r="C13" s="25"/>
      <c r="D13" s="25">
        <v>0</v>
      </c>
      <c r="E13" s="25"/>
      <c r="F13" s="61">
        <v>0</v>
      </c>
      <c r="G13" s="24"/>
      <c r="H13" s="25">
        <v>0</v>
      </c>
      <c r="I13" s="25">
        <v>0</v>
      </c>
      <c r="J13" s="25">
        <v>0</v>
      </c>
      <c r="K13" s="25">
        <v>0</v>
      </c>
    </row>
    <row r="14" ht="20.05" customHeight="1">
      <c r="A14" t="s" s="23">
        <v>29</v>
      </c>
      <c r="B14" s="24">
        <v>0</v>
      </c>
      <c r="C14" s="25"/>
      <c r="D14" s="25">
        <v>0</v>
      </c>
      <c r="E14" s="25"/>
      <c r="F14" s="61">
        <v>0</v>
      </c>
      <c r="G14" s="24"/>
      <c r="H14" s="25">
        <v>0</v>
      </c>
      <c r="I14" s="25">
        <v>0</v>
      </c>
      <c r="J14" s="25">
        <v>0</v>
      </c>
      <c r="K14" s="25">
        <v>0</v>
      </c>
    </row>
    <row r="15" ht="20.05" customHeight="1">
      <c r="A15" t="s" s="23">
        <v>30</v>
      </c>
      <c r="B15" s="24">
        <v>0</v>
      </c>
      <c r="C15" s="25"/>
      <c r="D15" s="25">
        <v>0</v>
      </c>
      <c r="E15" s="25"/>
      <c r="F15" s="61">
        <v>0</v>
      </c>
      <c r="G15" s="24"/>
      <c r="H15" s="25">
        <v>0</v>
      </c>
      <c r="I15" s="25">
        <v>0</v>
      </c>
      <c r="J15" s="25">
        <v>0</v>
      </c>
      <c r="K15" s="25">
        <v>4</v>
      </c>
    </row>
    <row r="16" ht="20.05" customHeight="1">
      <c r="A16" t="s" s="23">
        <v>31</v>
      </c>
      <c r="B16" s="24">
        <v>0</v>
      </c>
      <c r="C16" s="25"/>
      <c r="D16" s="25">
        <v>0</v>
      </c>
      <c r="E16" s="25"/>
      <c r="F16" s="61">
        <v>0</v>
      </c>
      <c r="G16" s="24"/>
      <c r="H16" s="25">
        <v>0</v>
      </c>
      <c r="I16" s="25">
        <v>0</v>
      </c>
      <c r="J16" s="25">
        <v>0</v>
      </c>
      <c r="K16" s="25">
        <v>0</v>
      </c>
    </row>
    <row r="17" ht="20.05" customHeight="1">
      <c r="A17" t="s" s="23">
        <v>32</v>
      </c>
      <c r="B17" s="24">
        <v>0</v>
      </c>
      <c r="C17" s="25"/>
      <c r="D17" s="25">
        <v>0</v>
      </c>
      <c r="E17" s="25"/>
      <c r="F17" s="61">
        <v>0</v>
      </c>
      <c r="G17" s="24"/>
      <c r="H17" s="25">
        <v>0</v>
      </c>
      <c r="I17" s="25">
        <v>0</v>
      </c>
      <c r="J17" s="25">
        <v>0</v>
      </c>
      <c r="K17" s="25">
        <v>0</v>
      </c>
    </row>
    <row r="18" ht="20.05" customHeight="1">
      <c r="A18" s="11"/>
      <c r="B18" s="12"/>
      <c r="C18" s="30"/>
      <c r="D18" s="30"/>
      <c r="E18" s="30"/>
      <c r="F18" s="64"/>
      <c r="G18" s="12"/>
      <c r="H18" s="30"/>
      <c r="I18" s="30"/>
      <c r="J18" s="30"/>
      <c r="K18" s="30"/>
    </row>
    <row r="19" ht="20.05" customHeight="1">
      <c r="A19" s="11"/>
      <c r="B19" s="12"/>
      <c r="C19" s="13"/>
      <c r="D19" s="13"/>
      <c r="E19" s="13"/>
      <c r="F19" s="65"/>
      <c r="G19" s="12"/>
      <c r="H19" s="13"/>
      <c r="I19" s="13"/>
      <c r="J19" s="13"/>
      <c r="K19" s="13"/>
    </row>
    <row r="20" ht="20.05" customHeight="1">
      <c r="A20" s="11"/>
      <c r="B20" s="12"/>
      <c r="C20" s="13"/>
      <c r="D20" s="13"/>
      <c r="E20" s="13"/>
      <c r="F20" s="65"/>
      <c r="G20" s="12"/>
      <c r="H20" s="13"/>
      <c r="I20" s="13"/>
      <c r="J20" s="13"/>
      <c r="K20" s="13"/>
    </row>
    <row r="21" ht="20.05" customHeight="1">
      <c r="A21" s="11"/>
      <c r="B21" s="12"/>
      <c r="C21" s="13"/>
      <c r="D21" s="13"/>
      <c r="E21" s="13"/>
      <c r="F21" s="65"/>
      <c r="G21" s="12"/>
      <c r="H21" s="13"/>
      <c r="I21" s="13"/>
      <c r="J21" s="13"/>
      <c r="K21" s="13"/>
    </row>
    <row r="22" ht="20.05" customHeight="1">
      <c r="A22" s="11"/>
      <c r="B22" s="12"/>
      <c r="C22" s="13"/>
      <c r="D22" s="13"/>
      <c r="E22" s="13"/>
      <c r="F22" s="65"/>
      <c r="G22" s="12"/>
      <c r="H22" s="13"/>
      <c r="I22" s="13"/>
      <c r="J22" s="13"/>
      <c r="K22" s="13"/>
    </row>
    <row r="23" ht="20.05" customHeight="1">
      <c r="A23" t="s" s="23">
        <v>33</v>
      </c>
      <c r="B23" s="44">
        <v>12</v>
      </c>
      <c r="C23" s="13"/>
      <c r="D23" s="31">
        <v>4</v>
      </c>
      <c r="E23" s="31">
        <v>2</v>
      </c>
      <c r="F23" s="66">
        <v>1</v>
      </c>
      <c r="G23" s="12"/>
      <c r="H23" s="31">
        <v>10</v>
      </c>
      <c r="I23" s="31">
        <v>10</v>
      </c>
      <c r="J23" s="31">
        <v>10</v>
      </c>
      <c r="K23" s="31">
        <v>5</v>
      </c>
    </row>
    <row r="24" ht="20.05" customHeight="1">
      <c r="A24" t="s" s="23">
        <v>10</v>
      </c>
      <c r="B24" s="52">
        <v>0</v>
      </c>
      <c r="C24" s="33"/>
      <c r="D24" s="33"/>
      <c r="E24" s="33"/>
      <c r="F24" s="67"/>
      <c r="G24" s="24"/>
      <c r="H24" s="33"/>
      <c r="I24" s="33"/>
      <c r="J24" s="33"/>
      <c r="K24" s="33"/>
    </row>
    <row r="25" ht="20.05" customHeight="1">
      <c r="A25" t="s" s="23">
        <v>55</v>
      </c>
      <c r="B25" s="54" cm="1">
        <f t="array" ref="B25">365/12</f>
        <v>30.4166666666667</v>
      </c>
      <c r="C25" s="55" cm="1">
        <f t="array" ref="C25">365/12</f>
        <v>30.4166666666667</v>
      </c>
      <c r="D25" s="13"/>
      <c r="E25" s="13"/>
      <c r="F25" s="65"/>
      <c r="G25" s="34">
        <v>10</v>
      </c>
      <c r="H25" s="13"/>
      <c r="I25" s="13"/>
      <c r="J25" s="13"/>
      <c r="K25" s="13"/>
    </row>
    <row r="26" ht="20.05" customHeight="1">
      <c r="A26" t="s" s="23">
        <v>37</v>
      </c>
      <c r="B26" s="36" cm="1">
        <f t="array" ref="B26">SUM(B$3:B$18*'ValueTransfer'!$B$3:$B$18)</f>
        <v>1918</v>
      </c>
      <c r="C26" s="37" cm="1">
        <f t="array" ref="C26">SUM(D26:F26)</f>
        <v>4190.56</v>
      </c>
      <c r="D26" s="25" cm="1">
        <f t="array" ref="D26">SUM(D$3:D$18*'ValueTransfer'!$B$3:$B$18)</f>
        <v>1358.72</v>
      </c>
      <c r="E26" s="25" cm="1">
        <f t="array" ref="E26">SUM(E$3:E$18*'ValueTransfer'!$B$3:$B$18)</f>
        <v>0</v>
      </c>
      <c r="F26" s="61" cm="1">
        <f t="array" ref="F26">SUM(F$3:F$18*'ValueTransfer'!$B$3:$B$18)</f>
        <v>2831.84</v>
      </c>
      <c r="G26" s="36" cm="1">
        <f t="array" ref="G26">SUM(H26:K26)</f>
        <v>3130.4</v>
      </c>
      <c r="H26" s="25" cm="1">
        <f t="array" ref="H26">SUM(H$3:H$18*'ValueTransfer'!$B$3:$B$18)</f>
        <v>1200</v>
      </c>
      <c r="I26" s="25" cm="1">
        <f t="array" ref="I26">SUM(I$3:I$18*'ValueTransfer'!$B$3:$B$18)</f>
        <v>0</v>
      </c>
      <c r="J26" s="25" cm="1">
        <f t="array" ref="J26">SUM(J$3:J$18*'ValueTransfer'!$B$3:$B$18)</f>
        <v>633.6</v>
      </c>
      <c r="K26" s="25" cm="1">
        <f t="array" ref="K26">SUM(K$3:K$18*'ValueTransfer'!$B$3:$B$18)</f>
        <v>1296.8</v>
      </c>
    </row>
    <row r="27" ht="20.05" customHeight="1">
      <c r="A27" t="s" s="23">
        <v>38</v>
      </c>
      <c r="B27" s="38" cm="1">
        <f t="array" ref="B27">SUM(B$3:B$18*'ValueTransfer'!$C$3:$C$18)</f>
        <v>489</v>
      </c>
      <c r="C27" s="39" cm="1">
        <f t="array" ref="C27">SUM(D27:F27)</f>
        <v>1746.72</v>
      </c>
      <c r="D27" s="25" cm="1">
        <f t="array" ref="D27">SUM(D$3:D$18*'ValueTransfer'!$C$3:$C$18)</f>
        <v>256</v>
      </c>
      <c r="E27" s="25" cm="1">
        <f t="array" ref="E27">SUM(E$3:E$18*'ValueTransfer'!$C$3:$C$18)</f>
        <v>0</v>
      </c>
      <c r="F27" s="61" cm="1">
        <f t="array" ref="F27">SUM(F$3:F$18*'ValueTransfer'!$C$3:$C$18)</f>
        <v>1490.72</v>
      </c>
      <c r="G27" s="38" cm="1">
        <f t="array" ref="G27">SUM(H27:K27)</f>
        <v>1561</v>
      </c>
      <c r="H27" s="25" cm="1">
        <f t="array" ref="H27">SUM(H$3:H$18*'ValueTransfer'!$C$3:$C$18)</f>
        <v>0</v>
      </c>
      <c r="I27" s="25" cm="1">
        <f t="array" ref="I27">SUM(I$3:I$18*'ValueTransfer'!$C$3:$C$18)</f>
        <v>1200</v>
      </c>
      <c r="J27" s="25" cm="1">
        <f t="array" ref="J27">SUM(J$3:J$18*'ValueTransfer'!$C$3:$C$18)</f>
        <v>124.2</v>
      </c>
      <c r="K27" s="25" cm="1">
        <f t="array" ref="K27">SUM(K$3:K$18*'ValueTransfer'!$C$3:$C$18)</f>
        <v>236.8</v>
      </c>
    </row>
    <row r="28" ht="20.05" customHeight="1">
      <c r="A28" t="s" s="23">
        <v>39</v>
      </c>
      <c r="B28" s="36" cm="1">
        <f t="array" ref="B28">SUM(B$3:B$18*'ValueTransfer'!$D$3:$D$18)</f>
        <v>174</v>
      </c>
      <c r="C28" s="37" cm="1">
        <f t="array" ref="C28">SUM(D28:F28)</f>
        <v>560</v>
      </c>
      <c r="D28" s="25" cm="1">
        <f t="array" ref="D28">SUM(D$3:D$18*'ValueTransfer'!$D$3:$D$18)</f>
        <v>208</v>
      </c>
      <c r="E28" s="25" cm="1">
        <f t="array" ref="E28">SUM(E$3:E$18*'ValueTransfer'!$D$3:$D$18)</f>
        <v>0</v>
      </c>
      <c r="F28" s="61" cm="1">
        <f t="array" ref="F28">SUM(F$3:F$18*'ValueTransfer'!$D$3:$D$18)</f>
        <v>352</v>
      </c>
      <c r="G28" s="36" cm="1">
        <f t="array" ref="G28">SUM(H28:K28)</f>
        <v>290.3</v>
      </c>
      <c r="H28" s="25" cm="1">
        <f t="array" ref="H28">SUM(H$3:H$18*'ValueTransfer'!$D$3:$D$18)</f>
        <v>0</v>
      </c>
      <c r="I28" s="25" cm="1">
        <f t="array" ref="I28">SUM(I$3:I$18*'ValueTransfer'!$D$3:$D$18)</f>
        <v>0</v>
      </c>
      <c r="J28" s="25" cm="1">
        <f t="array" ref="J28">SUM(J$3:J$18*'ValueTransfer'!$D$3:$D$18)</f>
        <v>78.3</v>
      </c>
      <c r="K28" s="25" cm="1">
        <f t="array" ref="K28">SUM(K$3:K$18*'ValueTransfer'!$D$3:$D$18)</f>
        <v>212</v>
      </c>
    </row>
    <row r="29" ht="20.05" customHeight="1">
      <c r="A29" t="s" s="23">
        <v>40</v>
      </c>
      <c r="B29" s="38" cm="1">
        <f t="array" ref="B29">SUM(B$3:B$18*'ValueTransfer'!$E$3:$E$18)</f>
        <v>106</v>
      </c>
      <c r="C29" s="39" cm="1">
        <f t="array" ref="C29">SUM(D29:F29)</f>
        <v>238.08</v>
      </c>
      <c r="D29" s="25" cm="1">
        <f t="array" ref="D29">SUM(D$3:D$18*'ValueTransfer'!$E$3:$E$18)</f>
        <v>238.08</v>
      </c>
      <c r="E29" s="25" cm="1">
        <f t="array" ref="E29">SUM(E$3:E$18*'ValueTransfer'!$E$3:$E$18)</f>
        <v>0</v>
      </c>
      <c r="F29" s="61" cm="1">
        <f t="array" ref="F29">SUM(F$3:F$18*'ValueTransfer'!$E$3:$E$18)</f>
        <v>0</v>
      </c>
      <c r="G29" s="38" cm="1">
        <f t="array" ref="G29">SUM(H29:K29)</f>
        <v>0</v>
      </c>
      <c r="H29" s="25" cm="1">
        <f t="array" ref="H29">SUM(H$3:H$18*'ValueTransfer'!$E$3:$E$18)</f>
        <v>0</v>
      </c>
      <c r="I29" s="25" cm="1">
        <f t="array" ref="I29">SUM(I$3:I$18*'ValueTransfer'!$E$3:$E$18)</f>
        <v>0</v>
      </c>
      <c r="J29" s="25" cm="1">
        <f t="array" ref="J29">SUM(J$3:J$18*'ValueTransfer'!$E$3:$E$18)</f>
        <v>0</v>
      </c>
      <c r="K29" s="25" cm="1">
        <f t="array" ref="K29">SUM(K$3:K$18*'ValueTransfer'!$E$3:$E$18)</f>
        <v>0</v>
      </c>
    </row>
    <row r="30" ht="20.05" customHeight="1">
      <c r="A30" s="11"/>
      <c r="B30" s="24"/>
      <c r="C30" s="25"/>
      <c r="D30" s="25"/>
      <c r="E30" s="25"/>
      <c r="F30" s="61"/>
      <c r="G30" s="24"/>
      <c r="H30" s="25"/>
      <c r="I30" s="25"/>
      <c r="J30" s="25"/>
      <c r="K30" s="25"/>
    </row>
    <row r="31" ht="20.05" customHeight="1">
      <c r="A31" t="s" s="23">
        <v>41</v>
      </c>
      <c r="B31" s="24" cm="1">
        <f t="array" ref="B31">SUM(B$3:B$18*'ValueTransfer'!$B$3:$B$18)/B$25</f>
        <v>63.0575342465753</v>
      </c>
      <c r="C31" s="25" cm="1">
        <f t="array" ref="C31">SUM(C$3:C$18*'ValueTransfer'!$B$3:$B$18)*C$23/365</f>
        <v>0</v>
      </c>
      <c r="D31" s="25" cm="1">
        <f t="array" ref="D31">SUM(D$3:D$18*'ValueTransfer'!$B$3:$B$18)*D$23/365</f>
        <v>14.8900821917808</v>
      </c>
      <c r="E31" s="25" cm="1">
        <f t="array" ref="E31">SUM(E$3:E$18*'ValueTransfer'!$B$3:$B$18)*E$23/365</f>
        <v>0</v>
      </c>
      <c r="F31" s="61" cm="1">
        <f t="array" ref="F31">SUM(F$3:F$18*'ValueTransfer'!$B$3:$B$18)*F$23/365</f>
        <v>7.75846575342466</v>
      </c>
      <c r="G31" s="24" cm="1">
        <f t="array" ref="G31">H31+J31+K31</f>
        <v>67.9999999999999</v>
      </c>
      <c r="H31" s="25" cm="1">
        <f t="array" ref="H31">SUM(H$3:H$18*'ValueTransfer'!$B$3:$B$18)*H$23/365</f>
        <v>32.8767123287671</v>
      </c>
      <c r="I31" s="25" cm="1">
        <f t="array" ref="I31">SUM(I$3:I$18*'ValueTransfer'!$B$3:$B$18)*I$23/365</f>
        <v>0</v>
      </c>
      <c r="J31" s="25" cm="1">
        <f t="array" ref="J31">SUM(J$3:J$18*'ValueTransfer'!$B$3:$B$18)*J$23/365</f>
        <v>17.358904109589</v>
      </c>
      <c r="K31" s="25" cm="1">
        <f t="array" ref="K31">SUM(K$3:K$18*'ValueTransfer'!$B$3:$B$18)*K$23/365</f>
        <v>17.7643835616438</v>
      </c>
    </row>
    <row r="32" ht="20.05" customHeight="1">
      <c r="A32" t="s" s="23">
        <v>42</v>
      </c>
      <c r="B32" s="24" cm="1">
        <f t="array" ref="B32">SUM(B$3:B$18*'ValueTransfer'!$C$3:$C$18)/B$25</f>
        <v>16.0767123287671</v>
      </c>
      <c r="C32" s="25" cm="1">
        <f t="array" ref="C32">SUM(C$3:C$18*'ValueTransfer'!$C$3:$C$18)*C23/365</f>
        <v>0</v>
      </c>
      <c r="D32" s="25" cm="1">
        <f t="array" ref="D32">SUM(D$3:D$18*'ValueTransfer'!$C$3:$C$18)*D23/365</f>
        <v>2.80547945205479</v>
      </c>
      <c r="E32" s="25" cm="1">
        <f t="array" ref="E32">SUM(E$3:E$18*'ValueTransfer'!$C$3:$C$18)*E23/365</f>
        <v>0</v>
      </c>
      <c r="F32" s="61" cm="1">
        <f t="array" ref="F32">SUM(F$3:F$18*'ValueTransfer'!$C$3:$C$18)*F23/365</f>
        <v>4.08416438356164</v>
      </c>
      <c r="G32" s="24" cm="1">
        <f t="array" ref="G32">H32+J32+K32</f>
        <v>6.64657534246576</v>
      </c>
      <c r="H32" s="25" cm="1">
        <f t="array" ref="H32">SUM(H$3:H$18*'ValueTransfer'!$C$3:$C$18)*H23/365</f>
        <v>0</v>
      </c>
      <c r="I32" s="25" cm="1">
        <f t="array" ref="I32">SUM(I$3:I$18*'ValueTransfer'!$C$3:$C$18)*I23/365</f>
        <v>32.8767123287671</v>
      </c>
      <c r="J32" s="25" cm="1">
        <f t="array" ref="J32">SUM(J$3:J$18*'ValueTransfer'!$C$3:$C$18)*J23/365</f>
        <v>3.4027397260274</v>
      </c>
      <c r="K32" s="25" cm="1">
        <f t="array" ref="K32">SUM(K$3:K$18*'ValueTransfer'!$C$3:$C$18)*K23/365</f>
        <v>3.24383561643836</v>
      </c>
    </row>
    <row r="33" ht="20.05" customHeight="1">
      <c r="A33" t="s" s="23">
        <v>43</v>
      </c>
      <c r="B33" s="24" cm="1">
        <f t="array" ref="B33">SUM(B$3:B$18*'ValueTransfer'!$D$3:$D$18)/B$25</f>
        <v>5.72054794520547</v>
      </c>
      <c r="C33" s="25" cm="1">
        <f t="array" ref="C33">SUM(C$3:C$18*'ValueTransfer'!$D$3:$D$18)*C23/365</f>
        <v>0</v>
      </c>
      <c r="D33" s="25" cm="1">
        <f t="array" ref="D33">SUM(D$3:D$18*'ValueTransfer'!$D$3:$D$18)*D23/365</f>
        <v>2.27945205479452</v>
      </c>
      <c r="E33" s="25" cm="1">
        <f t="array" ref="E33">SUM(E$3:E$18*'ValueTransfer'!$D$3:$D$18)*E23/365</f>
        <v>0</v>
      </c>
      <c r="F33" s="61" cm="1">
        <f t="array" ref="F33">SUM(F$3:F$18*'ValueTransfer'!$D$3:$D$18)*F23/365</f>
        <v>0.964383561643836</v>
      </c>
      <c r="G33" s="24" cm="1">
        <f t="array" ref="G33">H33+J33+K33</f>
        <v>5.04931506849315</v>
      </c>
      <c r="H33" s="25" cm="1">
        <f t="array" ref="H33">SUM(H$3:H$18*'ValueTransfer'!$D$3:$D$18)*H23/365</f>
        <v>0</v>
      </c>
      <c r="I33" s="25" cm="1">
        <f t="array" ref="I33">SUM(I$3:I$18*'ValueTransfer'!$D$3:$D$18)*I23/365</f>
        <v>0</v>
      </c>
      <c r="J33" s="25" cm="1">
        <f t="array" ref="J33">SUM(J$3:J$18*'ValueTransfer'!$D$3:$D$18)*J23/365</f>
        <v>2.14520547945205</v>
      </c>
      <c r="K33" s="25" cm="1">
        <f t="array" ref="K33">SUM(K$3:K$18*'ValueTransfer'!$D$3:$D$18)*K23/365</f>
        <v>2.9041095890411</v>
      </c>
    </row>
    <row r="34" ht="20.05" customHeight="1">
      <c r="A34" t="s" s="23">
        <v>44</v>
      </c>
      <c r="B34" s="24" cm="1">
        <f t="array" ref="B34">SUM(B$3:B$18*'ValueTransfer'!$E$3:$E$18)/B$25</f>
        <v>3.48493150684931</v>
      </c>
      <c r="C34" s="25" cm="1">
        <f t="array" ref="C34">SUM(C$3:C$18*'ValueTransfer'!$E$3:$E$18)*C23/365</f>
        <v>0</v>
      </c>
      <c r="D34" s="25" cm="1">
        <f t="array" ref="D34">SUM(D$3:D$18*'ValueTransfer'!$E$3:$E$18)*D23/365</f>
        <v>2.60909589041096</v>
      </c>
      <c r="E34" s="25" cm="1">
        <f t="array" ref="E34">SUM(E$3:E$18*'ValueTransfer'!$E$3:$E$18)*E23/365</f>
        <v>0</v>
      </c>
      <c r="F34" s="61" cm="1">
        <f t="array" ref="F34">SUM(F$3:F$18*'ValueTransfer'!$E$3:$E$18)*F23/365</f>
        <v>0</v>
      </c>
      <c r="G34" s="24" cm="1">
        <f t="array" ref="G34">H34+J34+K34</f>
        <v>0</v>
      </c>
      <c r="H34" s="25" cm="1">
        <f t="array" ref="H34">SUM(H$3:H$18*'ValueTransfer'!$E$3:$E$18)*H23/365</f>
        <v>0</v>
      </c>
      <c r="I34" s="25" cm="1">
        <f t="array" ref="I34">SUM(I$3:I$18*'ValueTransfer'!$E$3:$E$18)*I23/365</f>
        <v>0</v>
      </c>
      <c r="J34" s="25" cm="1">
        <f t="array" ref="J34">SUM(J$3:J$18*'ValueTransfer'!$E$3:$E$18)*J23/365</f>
        <v>0</v>
      </c>
      <c r="K34" s="25" cm="1">
        <f t="array" ref="K34">SUM(K$3:K$18*'ValueTransfer'!$E$3:$E$18)*K23/365</f>
        <v>0</v>
      </c>
    </row>
    <row r="35" ht="20.05" customHeight="1">
      <c r="A35" s="11"/>
      <c r="B35" s="24"/>
      <c r="C35" s="13"/>
      <c r="D35" s="13"/>
      <c r="E35" s="13"/>
      <c r="F35" s="65"/>
      <c r="G35" s="24"/>
      <c r="H35" s="13"/>
      <c r="I35" s="13"/>
      <c r="J35" s="13"/>
      <c r="K35" s="13"/>
    </row>
    <row r="36" ht="92.05" customHeight="1">
      <c r="A36" t="s" s="23">
        <v>45</v>
      </c>
      <c r="B36" t="s" s="56">
        <v>73</v>
      </c>
      <c r="C36" s="13"/>
      <c r="D36" t="s" s="32">
        <v>74</v>
      </c>
      <c r="E36" s="13"/>
      <c r="F36" s="13"/>
      <c r="G36" s="25"/>
      <c r="H36" t="s" s="32">
        <v>75</v>
      </c>
      <c r="I36" s="13"/>
      <c r="J36" s="13"/>
      <c r="K36" s="13"/>
    </row>
    <row r="37" ht="20.05" customHeight="1">
      <c r="A37" s="11"/>
      <c r="B37" s="12"/>
      <c r="C37" s="13"/>
      <c r="D37" s="13"/>
      <c r="E37" s="13"/>
      <c r="F37" s="13"/>
      <c r="G37" s="25"/>
      <c r="H37" s="13"/>
      <c r="I37" s="13"/>
      <c r="J37" s="13"/>
      <c r="K37" s="13"/>
    </row>
    <row r="38" ht="20.05" customHeight="1">
      <c r="A38" s="11"/>
      <c r="B38" s="12"/>
      <c r="C38" s="13"/>
      <c r="D38" s="13"/>
      <c r="E38" s="13"/>
      <c r="F38" s="13"/>
      <c r="G38" s="25"/>
      <c r="H38" s="13"/>
      <c r="I38" s="13"/>
      <c r="J38" s="13"/>
      <c r="K38" s="13"/>
    </row>
    <row r="39" ht="20.05" customHeight="1">
      <c r="A39" s="11"/>
      <c r="B39" s="12"/>
      <c r="C39" s="13"/>
      <c r="D39" s="13"/>
      <c r="E39" s="13"/>
      <c r="F39" s="13"/>
      <c r="G39" s="25"/>
      <c r="H39" s="13"/>
      <c r="I39" s="13"/>
      <c r="J39" s="13"/>
      <c r="K39" s="13"/>
    </row>
  </sheetData>
  <mergeCells count="1">
    <mergeCell ref="A1:K1"/>
  </mergeCells>
  <hyperlinks>
    <hyperlink ref="B36" r:id="rId1" location="" tooltip="" display="https://brawlstars.fandom.com/wiki/Mega_Pig"/>
    <hyperlink ref="D36" r:id="rId2" location="" tooltip="" display="https://docs.google.com/document/d/1PbqTDjwGPuzl7F7BSsfYLgZKp2scx4zprCahzk_HGnY/edit?tab=t.0"/>
    <hyperlink ref="H36" r:id="rId3" location="" tooltip="" display="https://brawlstars.fandom.com/wiki/Rush_Event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68" customWidth="1"/>
    <col min="2" max="2" width="17.6172" style="68" customWidth="1"/>
    <col min="3" max="7" width="16.3516" style="68" customWidth="1"/>
    <col min="8" max="16384" width="16.3516" style="68" customWidth="1"/>
  </cols>
  <sheetData>
    <row r="1" ht="27.65" customHeight="1">
      <c r="A1" t="s" s="2">
        <v>47</v>
      </c>
      <c r="B1" s="2"/>
      <c r="C1" s="2"/>
      <c r="D1" s="2"/>
      <c r="E1" s="2"/>
      <c r="F1" s="2"/>
      <c r="G1" s="2"/>
    </row>
    <row r="2" ht="32.25" customHeight="1">
      <c r="A2" t="s" s="3">
        <v>48</v>
      </c>
      <c r="B2" t="s" s="5">
        <v>76</v>
      </c>
      <c r="C2" t="s" s="5">
        <v>77</v>
      </c>
      <c r="D2" s="41"/>
      <c r="E2" s="41"/>
      <c r="F2" s="41"/>
      <c r="G2" s="41"/>
    </row>
    <row r="3" ht="20.25" customHeight="1">
      <c r="A3" t="s" s="20">
        <v>12</v>
      </c>
      <c r="B3" s="42">
        <v>0</v>
      </c>
      <c r="C3" s="43">
        <v>0</v>
      </c>
      <c r="D3" s="43"/>
      <c r="E3" s="10"/>
      <c r="F3" s="10"/>
      <c r="G3" s="10"/>
    </row>
    <row r="4" ht="20.05" customHeight="1">
      <c r="A4" t="s" s="23">
        <v>13</v>
      </c>
      <c r="B4" s="44">
        <v>0</v>
      </c>
      <c r="C4" s="31">
        <v>0</v>
      </c>
      <c r="D4" s="31"/>
      <c r="E4" s="13"/>
      <c r="F4" s="13"/>
      <c r="G4" s="13"/>
    </row>
    <row r="5" ht="20.05" customHeight="1">
      <c r="A5" t="s" s="23">
        <v>14</v>
      </c>
      <c r="B5" s="44">
        <v>0</v>
      </c>
      <c r="C5" s="31">
        <v>0</v>
      </c>
      <c r="D5" s="31"/>
      <c r="E5" s="13"/>
      <c r="F5" s="13"/>
      <c r="G5" s="13"/>
    </row>
    <row r="6" ht="20.05" customHeight="1">
      <c r="A6" t="s" s="23">
        <v>15</v>
      </c>
      <c r="B6" s="44">
        <v>0</v>
      </c>
      <c r="C6" s="31">
        <v>0</v>
      </c>
      <c r="D6" s="31"/>
      <c r="E6" s="13"/>
      <c r="F6" s="13"/>
      <c r="G6" s="13"/>
    </row>
    <row r="7" ht="20.05" customHeight="1">
      <c r="A7" t="s" s="23">
        <v>6</v>
      </c>
      <c r="B7" s="45">
        <v>0</v>
      </c>
      <c r="C7" s="46">
        <v>0</v>
      </c>
      <c r="D7" s="13"/>
      <c r="E7" s="13"/>
      <c r="F7" s="13"/>
      <c r="G7" s="13"/>
    </row>
    <row r="8" ht="20.05" customHeight="1">
      <c r="A8" t="s" s="23">
        <v>23</v>
      </c>
      <c r="B8" s="44">
        <v>0</v>
      </c>
      <c r="C8" s="48">
        <v>0</v>
      </c>
      <c r="D8" s="13"/>
      <c r="E8" s="13"/>
      <c r="F8" s="13"/>
      <c r="G8" s="13"/>
    </row>
    <row r="9" ht="20.05" customHeight="1">
      <c r="A9" t="s" s="23">
        <v>24</v>
      </c>
      <c r="B9" s="44">
        <v>0</v>
      </c>
      <c r="C9" s="50">
        <v>0</v>
      </c>
      <c r="D9" s="13"/>
      <c r="E9" s="13"/>
      <c r="F9" s="13"/>
      <c r="G9" s="13"/>
    </row>
    <row r="10" ht="20.05" customHeight="1">
      <c r="A10" t="s" s="23">
        <v>25</v>
      </c>
      <c r="B10" s="44">
        <v>0</v>
      </c>
      <c r="C10" s="48">
        <v>0</v>
      </c>
      <c r="D10" s="13"/>
      <c r="E10" s="13"/>
      <c r="F10" s="13"/>
      <c r="G10" s="13"/>
    </row>
    <row r="11" ht="20.05" customHeight="1">
      <c r="A11" t="s" s="23">
        <v>26</v>
      </c>
      <c r="B11" s="44">
        <v>10</v>
      </c>
      <c r="C11" s="31">
        <v>0</v>
      </c>
      <c r="D11" s="13"/>
      <c r="E11" s="13"/>
      <c r="F11" s="13"/>
      <c r="G11" s="13"/>
    </row>
    <row r="12" ht="20.05" customHeight="1">
      <c r="A12" t="s" s="23">
        <v>27</v>
      </c>
      <c r="B12" s="44">
        <v>0</v>
      </c>
      <c r="C12" s="31">
        <v>0</v>
      </c>
      <c r="D12" s="13"/>
      <c r="E12" s="13"/>
      <c r="F12" s="13"/>
      <c r="G12" s="13"/>
    </row>
    <row r="13" ht="20.05" customHeight="1">
      <c r="A13" t="s" s="23">
        <v>28</v>
      </c>
      <c r="B13" s="44">
        <v>0</v>
      </c>
      <c r="C13" s="31">
        <v>0</v>
      </c>
      <c r="D13" s="13"/>
      <c r="E13" s="13"/>
      <c r="F13" s="13"/>
      <c r="G13" s="13"/>
    </row>
    <row r="14" ht="20.05" customHeight="1">
      <c r="A14" t="s" s="23">
        <v>29</v>
      </c>
      <c r="B14" s="44">
        <v>0</v>
      </c>
      <c r="C14" s="31">
        <v>0</v>
      </c>
      <c r="D14" s="13"/>
      <c r="E14" s="13"/>
      <c r="F14" s="13"/>
      <c r="G14" s="13"/>
    </row>
    <row r="15" ht="20.05" customHeight="1">
      <c r="A15" t="s" s="23">
        <v>30</v>
      </c>
      <c r="B15" s="44">
        <v>5</v>
      </c>
      <c r="C15" s="31">
        <v>0</v>
      </c>
      <c r="D15" s="13"/>
      <c r="E15" s="13"/>
      <c r="F15" s="13"/>
      <c r="G15" s="13"/>
    </row>
    <row r="16" ht="20.05" customHeight="1">
      <c r="A16" t="s" s="23">
        <v>31</v>
      </c>
      <c r="B16" s="44">
        <v>0</v>
      </c>
      <c r="C16" s="31">
        <v>0</v>
      </c>
      <c r="D16" s="13"/>
      <c r="E16" s="13"/>
      <c r="F16" s="13"/>
      <c r="G16" s="13"/>
    </row>
    <row r="17" ht="20.05" customHeight="1">
      <c r="A17" t="s" s="23">
        <v>32</v>
      </c>
      <c r="B17" s="44">
        <v>0</v>
      </c>
      <c r="C17" s="31">
        <v>0</v>
      </c>
      <c r="D17" s="13"/>
      <c r="E17" s="13"/>
      <c r="F17" s="13"/>
      <c r="G17" s="13"/>
    </row>
    <row r="18" ht="20.05" customHeight="1">
      <c r="A18" s="11"/>
      <c r="B18" s="12"/>
      <c r="C18" s="13"/>
      <c r="D18" s="13"/>
      <c r="E18" s="13"/>
      <c r="F18" s="13"/>
      <c r="G18" s="13"/>
    </row>
    <row r="19" ht="20.05" customHeight="1">
      <c r="A19" s="11"/>
      <c r="B19" s="12"/>
      <c r="C19" s="13"/>
      <c r="D19" s="13"/>
      <c r="E19" s="13"/>
      <c r="F19" s="13"/>
      <c r="G19" s="13"/>
    </row>
    <row r="20" ht="20.05" customHeight="1">
      <c r="A20" s="11"/>
      <c r="B20" s="12"/>
      <c r="C20" s="13"/>
      <c r="D20" s="13"/>
      <c r="E20" s="13"/>
      <c r="F20" s="13"/>
      <c r="G20" s="13"/>
    </row>
    <row r="21" ht="20.05" customHeight="1">
      <c r="A21" s="11"/>
      <c r="B21" s="12"/>
      <c r="C21" s="13"/>
      <c r="D21" s="13"/>
      <c r="E21" s="13"/>
      <c r="F21" s="13"/>
      <c r="G21" s="13"/>
    </row>
    <row r="22" ht="20.05" customHeight="1">
      <c r="A22" s="11"/>
      <c r="B22" s="12"/>
      <c r="C22" s="13"/>
      <c r="D22" s="13"/>
      <c r="E22" s="13"/>
      <c r="F22" s="13"/>
      <c r="G22" s="13"/>
    </row>
    <row r="23" ht="20.05" customHeight="1">
      <c r="A23" t="s" s="23">
        <v>33</v>
      </c>
      <c r="B23" s="44">
        <v>12</v>
      </c>
      <c r="C23" s="13"/>
      <c r="D23" s="13"/>
      <c r="E23" s="13"/>
      <c r="F23" s="13"/>
      <c r="G23" s="13"/>
    </row>
    <row r="24" ht="20.05" customHeight="1">
      <c r="A24" t="s" s="23">
        <v>10</v>
      </c>
      <c r="B24" s="52">
        <v>0</v>
      </c>
      <c r="C24" s="33">
        <v>0</v>
      </c>
      <c r="D24" s="33">
        <v>0</v>
      </c>
      <c r="E24" s="33">
        <v>0</v>
      </c>
      <c r="F24" s="13"/>
      <c r="G24" s="13"/>
    </row>
    <row r="25" ht="20.05" customHeight="1">
      <c r="A25" t="s" s="23">
        <v>55</v>
      </c>
      <c r="B25" s="54" cm="1">
        <f t="array" ref="B25">365/12</f>
        <v>30.4166666666667</v>
      </c>
      <c r="C25" s="55">
        <v>1</v>
      </c>
      <c r="D25" s="30" cm="1">
        <f t="array" ref="D25">365/12</f>
        <v>30.4166666666667</v>
      </c>
      <c r="E25" s="30" cm="1">
        <f t="array" ref="E25">365/12</f>
        <v>30.4166666666667</v>
      </c>
      <c r="F25" s="13"/>
      <c r="G25" s="13"/>
    </row>
    <row r="26" ht="20.05" customHeight="1">
      <c r="A26" t="s" s="23">
        <v>37</v>
      </c>
      <c r="B26" s="36" cm="1">
        <f t="array" ref="B26">SUM(B$3:B$18*'ValueTransfer'!$B$3:$B$18)</f>
        <v>2325</v>
      </c>
      <c r="C26" s="37" cm="1">
        <f t="array" ref="C26">SUM(C$3:C$18*'ValueTransfer'!$B$3:$B$18)</f>
        <v>0</v>
      </c>
      <c r="D26" s="25" cm="1">
        <f t="array" ref="D26">SUM(D$3:D$18*'ValueTransfer'!$B$3:$B$18)</f>
        <v>0</v>
      </c>
      <c r="E26" s="25" cm="1">
        <f t="array" ref="E26">SUM(E$3:E$18*'ValueTransfer'!$B$3:$B$18)</f>
        <v>0</v>
      </c>
      <c r="F26" s="13"/>
      <c r="G26" s="13"/>
    </row>
    <row r="27" ht="20.05" customHeight="1">
      <c r="A27" t="s" s="23">
        <v>38</v>
      </c>
      <c r="B27" s="38" cm="1">
        <f t="array" ref="B27">SUM(B$3:B$18*'ValueTransfer'!$C$3:$C$18)</f>
        <v>434</v>
      </c>
      <c r="C27" s="39" cm="1">
        <f t="array" ref="C27">SUM(C$3:C$18*'ValueTransfer'!$C$3:$C$18)</f>
        <v>0</v>
      </c>
      <c r="D27" s="25" cm="1">
        <f t="array" ref="D27">SUM(D$3:D$18*'ValueTransfer'!$C$3:$C$18)</f>
        <v>0</v>
      </c>
      <c r="E27" s="25" cm="1">
        <f t="array" ref="E27">SUM(E$3:E$18*'ValueTransfer'!$C$3:$C$18)</f>
        <v>0</v>
      </c>
      <c r="F27" s="13"/>
      <c r="G27" s="13"/>
    </row>
    <row r="28" ht="20.05" customHeight="1">
      <c r="A28" t="s" s="23">
        <v>39</v>
      </c>
      <c r="B28" s="36" cm="1">
        <f t="array" ref="B28">SUM(B$3:B$18*'ValueTransfer'!$D$3:$D$18)</f>
        <v>352</v>
      </c>
      <c r="C28" s="37" cm="1">
        <f t="array" ref="C28">SUM(C$3:C$18*'ValueTransfer'!$D$3:$D$18)</f>
        <v>0</v>
      </c>
      <c r="D28" s="25" cm="1">
        <f t="array" ref="D28">SUM(D$3:D$18*'ValueTransfer'!$D$3:$D$18)</f>
        <v>0</v>
      </c>
      <c r="E28" s="25" cm="1">
        <f t="array" ref="E28">SUM(E$3:E$18*'ValueTransfer'!$D$3:$D$18)</f>
        <v>0</v>
      </c>
      <c r="F28" s="13"/>
      <c r="G28" s="13"/>
    </row>
    <row r="29" ht="20.05" customHeight="1">
      <c r="A29" t="s" s="23">
        <v>40</v>
      </c>
      <c r="B29" s="38" cm="1">
        <f t="array" ref="B29">SUM(B$3:B$18*'ValueTransfer'!$E$3:$E$18)</f>
        <v>0</v>
      </c>
      <c r="C29" s="39" cm="1">
        <f t="array" ref="C29">SUM(C$3:C$18*'ValueTransfer'!$E$3:$E$18)</f>
        <v>0</v>
      </c>
      <c r="D29" s="25" cm="1">
        <f t="array" ref="D29">SUM(D$3:D$18*'ValueTransfer'!$E$3:$E$18)</f>
        <v>0</v>
      </c>
      <c r="E29" s="25" cm="1">
        <f t="array" ref="E29">SUM(E$3:E$18*'ValueTransfer'!$E$3:$E$18)</f>
        <v>0</v>
      </c>
      <c r="F29" s="13"/>
      <c r="G29" s="13"/>
    </row>
    <row r="30" ht="20.05" customHeight="1">
      <c r="A30" s="11"/>
      <c r="B30" s="24"/>
      <c r="C30" s="25"/>
      <c r="D30" s="25"/>
      <c r="E30" s="25"/>
      <c r="F30" s="13"/>
      <c r="G30" s="13"/>
    </row>
    <row r="31" ht="20.05" customHeight="1">
      <c r="A31" t="s" s="23">
        <v>41</v>
      </c>
      <c r="B31" s="24" cm="1">
        <f t="array" ref="B31">SUM(B$3:B$18*'ValueTransfer'!$B$3:$B$18)/B$25</f>
        <v>76.43835616438351</v>
      </c>
      <c r="C31" s="25" cm="1">
        <f t="array" ref="C31">SUM(C$3:C$18*'ValueTransfer'!$B$3:$B$18)/C$25</f>
        <v>0</v>
      </c>
      <c r="D31" s="25" cm="1">
        <f t="array" ref="D31">SUM(D$3:D$18*'ValueTransfer'!$B$3:$B$18)/D$25</f>
        <v>0</v>
      </c>
      <c r="E31" s="25" cm="1">
        <f t="array" ref="E31">SUM(E$3:E$18*'ValueTransfer'!$B$3:$B$18)/E$25</f>
        <v>0</v>
      </c>
      <c r="F31" s="13"/>
      <c r="G31" s="13"/>
    </row>
    <row r="32" ht="20.05" customHeight="1">
      <c r="A32" t="s" s="23">
        <v>42</v>
      </c>
      <c r="B32" s="24" cm="1">
        <f t="array" ref="B32">SUM(B$3:B$18*'ValueTransfer'!$C$3:$C$18)/B$25</f>
        <v>14.2684931506849</v>
      </c>
      <c r="C32" s="25" cm="1">
        <f t="array" ref="C32">SUM(C$3:C$18*'ValueTransfer'!$C$3:$C$18)/C$25</f>
        <v>0</v>
      </c>
      <c r="D32" s="25" cm="1">
        <f t="array" ref="D32">SUM(D$3:D$18*'ValueTransfer'!$C$3:$C$18)/D$25</f>
        <v>0</v>
      </c>
      <c r="E32" s="25" cm="1">
        <f t="array" ref="E32">SUM(E$3:E$18*'ValueTransfer'!$C$3:$C$18)/E$25</f>
        <v>0</v>
      </c>
      <c r="F32" s="13"/>
      <c r="G32" s="13"/>
    </row>
    <row r="33" ht="20.05" customHeight="1">
      <c r="A33" t="s" s="23">
        <v>43</v>
      </c>
      <c r="B33" s="24" cm="1">
        <f t="array" ref="B33">SUM(B$3:B$18*'ValueTransfer'!$D$3:$D$18)/B$25</f>
        <v>11.572602739726</v>
      </c>
      <c r="C33" s="25" cm="1">
        <f t="array" ref="C33">SUM(C$3:C$18*'ValueTransfer'!$D$3:$D$18)/C$25</f>
        <v>0</v>
      </c>
      <c r="D33" s="25" cm="1">
        <f t="array" ref="D33">SUM(D$3:D$18*'ValueTransfer'!$D$3:$D$18)/D$25</f>
        <v>0</v>
      </c>
      <c r="E33" s="25" cm="1">
        <f t="array" ref="E33">SUM(E$3:E$18*'ValueTransfer'!$D$3:$D$18)/E$25</f>
        <v>0</v>
      </c>
      <c r="F33" s="13"/>
      <c r="G33" s="13"/>
    </row>
    <row r="34" ht="20.05" customHeight="1">
      <c r="A34" t="s" s="23">
        <v>44</v>
      </c>
      <c r="B34" s="24" cm="1">
        <f t="array" ref="B34">SUM(B$3:B$18*'ValueTransfer'!$E$3:$E$18)/B$25</f>
        <v>0</v>
      </c>
      <c r="C34" s="25" cm="1">
        <f t="array" ref="C34">SUM(C$3:C$18*'ValueTransfer'!$E$3:$E$18)/C$25</f>
        <v>0</v>
      </c>
      <c r="D34" s="25" cm="1">
        <f t="array" ref="D34">SUM(D$3:D$18*'ValueTransfer'!$E$3:$E$18)/D$25</f>
        <v>0</v>
      </c>
      <c r="E34" s="25" cm="1">
        <f t="array" ref="E34">SUM(E$3:E$18*'ValueTransfer'!$E$3:$E$18)/E$25</f>
        <v>0</v>
      </c>
      <c r="F34" s="13"/>
      <c r="G34" s="13"/>
    </row>
    <row r="35" ht="20.05" customHeight="1">
      <c r="A35" s="11"/>
      <c r="B35" s="24"/>
      <c r="C35" s="25"/>
      <c r="D35" s="25"/>
      <c r="E35" s="25"/>
      <c r="F35" s="13"/>
      <c r="G35" s="13"/>
    </row>
    <row r="36" ht="68.05" customHeight="1">
      <c r="A36" t="s" s="23">
        <v>45</v>
      </c>
      <c r="B36" t="s" s="56">
        <v>78</v>
      </c>
      <c r="C36" s="25"/>
      <c r="D36" s="25"/>
      <c r="E36" s="25"/>
      <c r="F36" s="13"/>
      <c r="G36" s="13"/>
    </row>
  </sheetData>
  <mergeCells count="1">
    <mergeCell ref="A1:G1"/>
  </mergeCells>
  <hyperlinks>
    <hyperlink ref="B36" r:id="rId1" location="" tooltip="" display="https://brawlstars.fandom.com/wiki/Brawl_Stars_Championship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69" customWidth="1"/>
    <col min="7" max="16384" width="16.3516" style="69" customWidth="1"/>
  </cols>
  <sheetData>
    <row r="1" ht="27.65" customHeight="1">
      <c r="A1" t="s" s="2">
        <v>79</v>
      </c>
      <c r="B1" s="2"/>
      <c r="C1" s="2"/>
      <c r="D1" s="2"/>
      <c r="E1" s="2"/>
      <c r="F1" s="2"/>
    </row>
    <row r="2" ht="20.25" customHeight="1">
      <c r="A2" s="41"/>
      <c r="B2" t="s" s="3">
        <v>12</v>
      </c>
      <c r="C2" t="s" s="3">
        <v>13</v>
      </c>
      <c r="D2" t="s" s="3">
        <v>14</v>
      </c>
      <c r="E2" t="s" s="3">
        <v>15</v>
      </c>
      <c r="F2" t="s" s="3">
        <v>6</v>
      </c>
    </row>
    <row r="3" ht="20.25" customHeight="1">
      <c r="A3" t="s" s="20">
        <v>12</v>
      </c>
      <c r="B3" s="21">
        <v>1</v>
      </c>
      <c r="C3" s="22">
        <v>0</v>
      </c>
      <c r="D3" s="22">
        <v>0</v>
      </c>
      <c r="E3" s="22">
        <v>0</v>
      </c>
      <c r="F3" s="43">
        <v>0</v>
      </c>
    </row>
    <row r="4" ht="20.05" customHeight="1">
      <c r="A4" t="s" s="23">
        <v>13</v>
      </c>
      <c r="B4" s="24">
        <v>0</v>
      </c>
      <c r="C4" s="25">
        <v>1</v>
      </c>
      <c r="D4" s="25">
        <v>0</v>
      </c>
      <c r="E4" s="25">
        <v>0</v>
      </c>
      <c r="F4" s="31">
        <v>0</v>
      </c>
    </row>
    <row r="5" ht="20.05" customHeight="1">
      <c r="A5" t="s" s="23">
        <v>14</v>
      </c>
      <c r="B5" s="24">
        <v>0</v>
      </c>
      <c r="C5" s="25">
        <v>0</v>
      </c>
      <c r="D5" s="25">
        <v>1</v>
      </c>
      <c r="E5" s="25">
        <v>0</v>
      </c>
      <c r="F5" s="31">
        <v>0</v>
      </c>
    </row>
    <row r="6" ht="20.05" customHeight="1">
      <c r="A6" t="s" s="23">
        <v>15</v>
      </c>
      <c r="B6" s="24">
        <v>0</v>
      </c>
      <c r="C6" s="25">
        <v>0</v>
      </c>
      <c r="D6" s="25">
        <v>0</v>
      </c>
      <c r="E6" s="25">
        <v>1</v>
      </c>
      <c r="F6" s="31">
        <v>0</v>
      </c>
    </row>
    <row r="7" ht="20.05" customHeight="1">
      <c r="A7" t="s" s="23">
        <v>6</v>
      </c>
      <c r="B7" s="24">
        <v>0</v>
      </c>
      <c r="C7" s="25">
        <v>0</v>
      </c>
      <c r="D7" s="25">
        <v>0</v>
      </c>
      <c r="E7" s="25">
        <v>0</v>
      </c>
      <c r="F7" s="31">
        <v>1</v>
      </c>
    </row>
    <row r="8" ht="20.05" customHeight="1">
      <c r="A8" t="s" s="23">
        <v>23</v>
      </c>
      <c r="B8" s="24">
        <v>0</v>
      </c>
      <c r="C8" s="25">
        <v>0</v>
      </c>
      <c r="D8" s="25">
        <v>950</v>
      </c>
      <c r="E8" s="25">
        <v>0</v>
      </c>
      <c r="F8" s="31">
        <v>0</v>
      </c>
    </row>
    <row r="9" ht="20.05" customHeight="1">
      <c r="A9" t="s" s="23">
        <v>24</v>
      </c>
      <c r="B9" s="24">
        <v>0</v>
      </c>
      <c r="C9" s="25">
        <v>2000</v>
      </c>
      <c r="D9" s="25">
        <v>0</v>
      </c>
      <c r="E9" s="25">
        <v>0</v>
      </c>
      <c r="F9" s="31">
        <v>0</v>
      </c>
    </row>
    <row r="10" ht="20.05" customHeight="1">
      <c r="A10" t="s" s="23">
        <v>80</v>
      </c>
      <c r="B10" s="24">
        <v>1000</v>
      </c>
      <c r="C10" s="25">
        <v>2000</v>
      </c>
      <c r="D10" s="25">
        <v>0</v>
      </c>
      <c r="E10" s="25">
        <v>0</v>
      </c>
      <c r="F10" s="31">
        <v>0</v>
      </c>
    </row>
    <row r="11" ht="20.05" customHeight="1">
      <c r="A11" t="s" s="23">
        <v>26</v>
      </c>
      <c r="B11" s="24">
        <v>70.40000000000001</v>
      </c>
      <c r="C11" s="25">
        <v>13.8</v>
      </c>
      <c r="D11" s="25">
        <v>8.699999999999999</v>
      </c>
      <c r="E11" s="25">
        <v>0</v>
      </c>
      <c r="F11" s="31">
        <v>0</v>
      </c>
    </row>
    <row r="12" ht="20.05" customHeight="1">
      <c r="A12" t="s" s="23">
        <v>27</v>
      </c>
      <c r="B12" s="24">
        <v>70.40000000000001</v>
      </c>
      <c r="C12" s="25">
        <v>13.8</v>
      </c>
      <c r="D12" s="25">
        <v>8.699999999999999</v>
      </c>
      <c r="E12" s="25">
        <v>0</v>
      </c>
      <c r="F12" s="31">
        <v>0</v>
      </c>
    </row>
    <row r="13" ht="20.05" customHeight="1">
      <c r="A13" t="s" s="23">
        <v>28</v>
      </c>
      <c r="B13" s="24">
        <v>70.40000000000001</v>
      </c>
      <c r="C13" s="25">
        <v>13.8</v>
      </c>
      <c r="D13" s="25">
        <v>8.699999999999999</v>
      </c>
      <c r="E13" s="25">
        <v>0</v>
      </c>
      <c r="F13" s="31">
        <v>0</v>
      </c>
    </row>
    <row r="14" ht="20.05" customHeight="1">
      <c r="A14" t="s" s="23">
        <v>29</v>
      </c>
      <c r="B14" s="24">
        <v>70.40000000000001</v>
      </c>
      <c r="C14" s="25">
        <v>13.8</v>
      </c>
      <c r="D14" s="25">
        <v>8.699999999999999</v>
      </c>
      <c r="E14" s="25">
        <v>0</v>
      </c>
      <c r="F14" s="31">
        <v>0</v>
      </c>
    </row>
    <row r="15" ht="20.05" customHeight="1">
      <c r="A15" t="s" s="23">
        <v>30</v>
      </c>
      <c r="B15" s="24">
        <v>324.2</v>
      </c>
      <c r="C15" s="25">
        <v>59.2</v>
      </c>
      <c r="D15" s="25">
        <v>53</v>
      </c>
      <c r="E15" s="25">
        <v>0</v>
      </c>
      <c r="F15" s="31">
        <v>0</v>
      </c>
    </row>
    <row r="16" ht="20.05" customHeight="1">
      <c r="A16" t="s" s="23">
        <v>31</v>
      </c>
      <c r="B16" s="24">
        <v>5000</v>
      </c>
      <c r="C16" s="25">
        <v>0</v>
      </c>
      <c r="D16" s="25">
        <v>0</v>
      </c>
      <c r="E16" s="25">
        <v>0</v>
      </c>
      <c r="F16" s="31">
        <v>0</v>
      </c>
    </row>
    <row r="17" ht="20.05" customHeight="1">
      <c r="A17" t="s" s="23">
        <v>32</v>
      </c>
      <c r="B17" s="24">
        <v>0</v>
      </c>
      <c r="C17" s="25">
        <v>0</v>
      </c>
      <c r="D17" s="25">
        <v>0</v>
      </c>
      <c r="E17" s="25">
        <v>100</v>
      </c>
      <c r="F17" s="31">
        <v>0</v>
      </c>
    </row>
    <row r="18" ht="20.05" customHeight="1">
      <c r="A18" t="s" s="23">
        <v>53</v>
      </c>
      <c r="B18" s="44">
        <v>0</v>
      </c>
      <c r="C18" s="31">
        <v>0</v>
      </c>
      <c r="D18" s="31">
        <v>0</v>
      </c>
      <c r="E18" s="31">
        <v>0</v>
      </c>
      <c r="F18" s="31">
        <v>0</v>
      </c>
    </row>
    <row r="19" ht="20.05" customHeight="1">
      <c r="A19" t="s" s="23">
        <v>54</v>
      </c>
      <c r="B19" s="12"/>
      <c r="C19" s="13"/>
      <c r="D19" s="13"/>
      <c r="E19" s="13"/>
      <c r="F19" s="13"/>
    </row>
    <row r="20" ht="20.05" customHeight="1">
      <c r="A20" s="11"/>
      <c r="B20" s="12"/>
      <c r="C20" s="13"/>
      <c r="D20" s="13"/>
      <c r="E20" s="13"/>
      <c r="F20" s="13"/>
    </row>
    <row r="21" ht="20.05" customHeight="1">
      <c r="A21" s="11"/>
      <c r="B21" s="12"/>
      <c r="C21" s="13"/>
      <c r="D21" s="13"/>
      <c r="E21" s="13"/>
      <c r="F21" s="13"/>
    </row>
    <row r="22" ht="20.05" customHeight="1">
      <c r="A22" s="11"/>
      <c r="B22" s="12"/>
      <c r="C22" s="13"/>
      <c r="D22" s="13"/>
      <c r="E22" s="13"/>
      <c r="F22" s="13"/>
    </row>
    <row r="23" ht="20.05" customHeight="1">
      <c r="A23" s="11"/>
      <c r="B23" s="12"/>
      <c r="C23" s="13"/>
      <c r="D23" s="13"/>
      <c r="E23" s="13"/>
      <c r="F23" s="13"/>
    </row>
    <row r="24" ht="20.05" customHeight="1">
      <c r="A24" s="11"/>
      <c r="B24" s="12"/>
      <c r="C24" s="13"/>
      <c r="D24" s="13"/>
      <c r="E24" s="13"/>
      <c r="F24" s="13"/>
    </row>
    <row r="25" ht="20.05" customHeight="1">
      <c r="A25" s="11"/>
      <c r="B25" s="12"/>
      <c r="C25" s="13"/>
      <c r="D25" s="13"/>
      <c r="E25" s="13"/>
      <c r="F25" s="13"/>
    </row>
    <row r="26" ht="20.05" customHeight="1">
      <c r="A26" s="11"/>
      <c r="B26" s="12"/>
      <c r="C26" s="13"/>
      <c r="D26" s="13"/>
      <c r="E26" s="13"/>
      <c r="F26" s="13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70" customWidth="1"/>
    <col min="6" max="16384" width="16.3516" style="70" customWidth="1"/>
  </cols>
  <sheetData>
    <row r="1" ht="27.65" customHeight="1">
      <c r="A1" t="s" s="2">
        <v>81</v>
      </c>
      <c r="B1" s="2"/>
      <c r="C1" s="2"/>
      <c r="D1" s="2"/>
      <c r="E1" s="2"/>
    </row>
    <row r="2" ht="20.25" customHeight="1">
      <c r="A2" s="41"/>
      <c r="B2" s="41"/>
      <c r="C2" s="41"/>
      <c r="D2" s="41"/>
      <c r="E2" s="41"/>
    </row>
    <row r="3" ht="20.25" customHeight="1">
      <c r="A3" t="s" s="20">
        <v>12</v>
      </c>
      <c r="B3" s="9" cm="1">
        <f t="array" ref="B3">'Brawl Pass'!B31+'Ranked Pass'!B31+'Daily Play'!C31+'Standard events'!B31+#REF!</f>
      </c>
      <c r="C3" s="10"/>
      <c r="D3" s="10"/>
      <c r="E3" s="10"/>
    </row>
    <row r="4" ht="20.05" customHeight="1">
      <c r="A4" t="s" s="23">
        <v>13</v>
      </c>
      <c r="B4" s="12" cm="1">
        <f t="array" ref="B4">'Brawl Pass'!B32+'Ranked Pass'!B32+'Daily Play'!C32+'Standard events'!B32+#REF!</f>
      </c>
      <c r="C4" s="13"/>
      <c r="D4" s="13"/>
      <c r="E4" s="13"/>
    </row>
    <row r="5" ht="20.05" customHeight="1">
      <c r="A5" t="s" s="23">
        <v>14</v>
      </c>
      <c r="B5" s="12" cm="1">
        <f t="array" ref="B5">'Brawl Pass'!B33+'Ranked Pass'!B33+'Daily Play'!C33+'Standard events'!B33+#REF!</f>
      </c>
      <c r="C5" s="13"/>
      <c r="D5" s="13"/>
      <c r="E5" s="13"/>
    </row>
    <row r="6" ht="20.05" customHeight="1">
      <c r="A6" t="s" s="23">
        <v>15</v>
      </c>
      <c r="B6" s="12" cm="1">
        <f t="array" ref="B6">'Brawl Pass'!B34+'Ranked Pass'!B34+'Daily Play'!C34+'Standard events'!B34+#REF!</f>
      </c>
      <c r="C6" s="13"/>
      <c r="D6" s="13"/>
      <c r="E6" s="13"/>
    </row>
    <row r="7" ht="20.05" customHeight="1">
      <c r="A7" s="11"/>
      <c r="B7" s="12"/>
      <c r="C7" s="13"/>
      <c r="D7" s="13"/>
      <c r="E7" s="13"/>
    </row>
    <row r="8" ht="20.05" customHeight="1">
      <c r="A8" s="11"/>
      <c r="B8" s="12"/>
      <c r="C8" s="13"/>
      <c r="D8" s="13"/>
      <c r="E8" s="13"/>
    </row>
    <row r="9" ht="20.05" customHeight="1">
      <c r="A9" s="11"/>
      <c r="B9" s="12"/>
      <c r="C9" s="13"/>
      <c r="D9" s="13"/>
      <c r="E9" s="13"/>
    </row>
    <row r="10" ht="20.05" customHeight="1">
      <c r="A10" s="11"/>
      <c r="B10" s="12"/>
      <c r="C10" s="13"/>
      <c r="D10" s="13"/>
      <c r="E10" s="13"/>
    </row>
    <row r="11" ht="20.05" customHeight="1">
      <c r="A11" s="11"/>
      <c r="B11" s="12"/>
      <c r="C11" s="13"/>
      <c r="D11" s="13"/>
      <c r="E11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